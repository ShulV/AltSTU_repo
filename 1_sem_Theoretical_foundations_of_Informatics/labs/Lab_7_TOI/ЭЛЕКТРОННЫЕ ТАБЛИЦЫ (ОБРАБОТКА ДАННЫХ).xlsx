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ictor\AltSTU\Theoretical_foundations_of_Informatics\labs\Lab_7_TOI\"/>
    </mc:Choice>
  </mc:AlternateContent>
  <bookViews>
    <workbookView xWindow="0" yWindow="0" windowWidth="21570" windowHeight="7485" firstSheet="7" activeTab="7"/>
  </bookViews>
  <sheets>
    <sheet name="1.1 Создание и ведение" sheetId="1" r:id="rId1"/>
    <sheet name="1.2 Сортировка" sheetId="2" r:id="rId2"/>
    <sheet name="1.3 Условное форматирование" sheetId="3" r:id="rId3"/>
    <sheet name="1.4.1 Стандартный фильтр" sheetId="4" r:id="rId4"/>
    <sheet name="1.4.2 Расширенный фильтр" sheetId="5" r:id="rId5"/>
    <sheet name="Структура 1.5" sheetId="6" r:id="rId6"/>
    <sheet name="2.1 Промежуточные итоги" sheetId="7" r:id="rId7"/>
    <sheet name="2.2 ФУНКЦИИ БАЗЫ ДАННЫХ" sheetId="8" r:id="rId8"/>
    <sheet name="2.3 Консолидация " sheetId="15" r:id="rId9"/>
    <sheet name="Склад1" sheetId="11" r:id="rId10"/>
    <sheet name="Склад2" sheetId="12" r:id="rId11"/>
    <sheet name="Склад3" sheetId="13" r:id="rId12"/>
    <sheet name="2.4 Сводная таблица" sheetId="10" r:id="rId13"/>
  </sheets>
  <definedNames>
    <definedName name="_xlnm._FilterDatabase" localSheetId="1" hidden="1">'1.2 Сортировка'!$A$1:$H$7</definedName>
    <definedName name="_xlnm._FilterDatabase" localSheetId="3" hidden="1">'1.4.1 Стандартный фильтр'!$A$1:$K$10</definedName>
    <definedName name="_xlnm._FilterDatabase" localSheetId="4" hidden="1">'1.4.2 Расширенный фильтр'!$A$1:$J$9</definedName>
    <definedName name="_xlnm._FilterDatabase" localSheetId="6" hidden="1">'2.1 Промежуточные итоги'!$A$1:$I$24</definedName>
    <definedName name="_xlnm._FilterDatabase" localSheetId="7" hidden="1">'2.2 ФУНКЦИИ БАЗЫ ДАННЫХ'!$A$1:$I$1</definedName>
    <definedName name="_xlnm.Extract" localSheetId="4">'1.4.2 Расширенный фильтр'!$A$25:$J$25</definedName>
    <definedName name="_xlnm.Criteria" localSheetId="4">'1.4.2 Расширенный фильтр'!$A$13:$J$17</definedName>
    <definedName name="таблица" localSheetId="7">'2.2 ФУНКЦИИ БАЗЫ ДАННЫХ'!$A$2:$I$17</definedName>
  </definedNames>
  <calcPr calcId="162913"/>
  <pivotCaches>
    <pivotCache cacheId="6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8" l="1"/>
  <c r="F4" i="15"/>
  <c r="G4" i="15"/>
  <c r="F5" i="15"/>
  <c r="F6" i="15"/>
  <c r="G5" i="15"/>
  <c r="G6" i="15"/>
  <c r="F11" i="15"/>
  <c r="G11" i="15"/>
  <c r="F15" i="15"/>
  <c r="F18" i="15"/>
  <c r="G15" i="15"/>
  <c r="G18" i="15"/>
  <c r="F24" i="15"/>
  <c r="G24" i="15"/>
  <c r="F27" i="15"/>
  <c r="G27" i="15"/>
  <c r="F33" i="15"/>
  <c r="G33" i="15"/>
  <c r="F36" i="15"/>
  <c r="G36" i="15"/>
  <c r="F42" i="15"/>
  <c r="G42" i="15"/>
  <c r="F44" i="15"/>
  <c r="G44" i="15"/>
  <c r="F48" i="15"/>
  <c r="G48" i="15"/>
  <c r="F50" i="15"/>
  <c r="G50" i="15"/>
  <c r="F54" i="15"/>
  <c r="G54" i="15"/>
  <c r="F56" i="15"/>
  <c r="G56" i="15"/>
  <c r="F60" i="15"/>
  <c r="G60" i="15"/>
  <c r="F62" i="15"/>
  <c r="G62" i="15"/>
  <c r="F65" i="15"/>
  <c r="G65" i="15"/>
  <c r="F66" i="15"/>
  <c r="G66" i="15"/>
  <c r="F68" i="15"/>
  <c r="G68" i="15"/>
  <c r="F69" i="15"/>
  <c r="G69" i="15"/>
  <c r="F71" i="15"/>
  <c r="G71" i="15"/>
  <c r="F72" i="15"/>
  <c r="G72" i="15"/>
  <c r="F74" i="15"/>
  <c r="F75" i="15" s="1"/>
  <c r="G74" i="15"/>
  <c r="G75" i="15" s="1"/>
  <c r="F76" i="15"/>
  <c r="F77" i="15" s="1"/>
  <c r="G76" i="15"/>
  <c r="G77" i="15" s="1"/>
  <c r="F78" i="15"/>
  <c r="F79" i="15" s="1"/>
  <c r="G78" i="15"/>
  <c r="G79" i="15" s="1"/>
  <c r="F80" i="15"/>
  <c r="F81" i="15" s="1"/>
  <c r="G80" i="15"/>
  <c r="G81" i="15" s="1"/>
  <c r="F82" i="15"/>
  <c r="F83" i="15" s="1"/>
  <c r="G82" i="15"/>
  <c r="G83" i="15" s="1"/>
  <c r="F84" i="15"/>
  <c r="F85" i="15" s="1"/>
  <c r="G84" i="15"/>
  <c r="G85" i="15" s="1"/>
  <c r="F86" i="15"/>
  <c r="F87" i="15" s="1"/>
  <c r="G86" i="15"/>
  <c r="G87" i="15" s="1"/>
  <c r="F88" i="15"/>
  <c r="F89" i="15" s="1"/>
  <c r="G88" i="15"/>
  <c r="G89" i="15" s="1"/>
  <c r="F90" i="15"/>
  <c r="F91" i="15" s="1"/>
  <c r="G90" i="15"/>
  <c r="G91" i="15" s="1"/>
  <c r="F92" i="15"/>
  <c r="F93" i="15" s="1"/>
  <c r="G92" i="15"/>
  <c r="G93" i="15" s="1"/>
  <c r="F94" i="15"/>
  <c r="F95" i="15" s="1"/>
  <c r="G94" i="15"/>
  <c r="G95" i="15" s="1"/>
  <c r="F67" i="15" l="1"/>
  <c r="F58" i="15"/>
  <c r="F52" i="15"/>
  <c r="F46" i="15"/>
  <c r="F30" i="15"/>
  <c r="G58" i="15"/>
  <c r="G73" i="15"/>
  <c r="G46" i="15"/>
  <c r="G39" i="15"/>
  <c r="F73" i="15"/>
  <c r="F70" i="15"/>
  <c r="G67" i="15"/>
  <c r="G64" i="15"/>
  <c r="G30" i="15"/>
  <c r="F7" i="15"/>
  <c r="F64" i="15"/>
  <c r="F39" i="15"/>
  <c r="G21" i="15"/>
  <c r="G70" i="15"/>
  <c r="G52" i="15"/>
  <c r="F21" i="15"/>
  <c r="G7" i="15"/>
  <c r="H25" i="7"/>
  <c r="E25" i="7"/>
  <c r="H21" i="7"/>
  <c r="E21" i="7"/>
  <c r="H17" i="7"/>
  <c r="E17" i="7"/>
  <c r="H11" i="7"/>
  <c r="E11" i="7"/>
  <c r="H7" i="7"/>
  <c r="E7" i="7"/>
  <c r="H3" i="7"/>
  <c r="E3" i="7"/>
  <c r="E26" i="7"/>
  <c r="E22" i="7"/>
  <c r="E18" i="7"/>
  <c r="E12" i="7"/>
  <c r="E8" i="7"/>
  <c r="E4" i="7"/>
  <c r="F27" i="7"/>
  <c r="F23" i="7"/>
  <c r="F19" i="7"/>
  <c r="F13" i="7"/>
  <c r="F9" i="7"/>
  <c r="F5" i="7"/>
  <c r="J10" i="6"/>
  <c r="G14" i="6"/>
  <c r="H14" i="6"/>
  <c r="F14" i="6"/>
  <c r="I12" i="6"/>
  <c r="I13" i="6"/>
  <c r="I11" i="6"/>
  <c r="G8" i="6"/>
  <c r="H8" i="6"/>
  <c r="F8" i="6"/>
  <c r="I4" i="6"/>
  <c r="I5" i="6"/>
  <c r="I6" i="6"/>
  <c r="I7" i="6"/>
  <c r="I3" i="6"/>
  <c r="E12" i="6"/>
  <c r="E13" i="6"/>
  <c r="E11" i="6"/>
  <c r="C14" i="6"/>
  <c r="D14" i="6"/>
  <c r="B14" i="6"/>
  <c r="C8" i="6"/>
  <c r="D8" i="6"/>
  <c r="B8" i="6"/>
  <c r="E4" i="6"/>
  <c r="E5" i="6"/>
  <c r="E6" i="6"/>
  <c r="E7" i="6"/>
  <c r="E3" i="6"/>
  <c r="E28" i="7" l="1"/>
  <c r="F30" i="7"/>
  <c r="H28" i="7"/>
  <c r="H15" i="6"/>
  <c r="J13" i="6"/>
  <c r="J7" i="6"/>
  <c r="J12" i="6"/>
  <c r="J11" i="6"/>
  <c r="I14" i="6"/>
  <c r="I8" i="6"/>
  <c r="J6" i="6"/>
  <c r="J5" i="6"/>
  <c r="E8" i="6"/>
  <c r="J3" i="6"/>
  <c r="J4" i="6"/>
  <c r="B15" i="6"/>
  <c r="F15" i="6"/>
  <c r="D15" i="6"/>
  <c r="E14" i="6"/>
  <c r="G15" i="6"/>
  <c r="C15" i="6"/>
  <c r="I15" i="6" l="1"/>
  <c r="J14" i="6"/>
  <c r="J8" i="6"/>
  <c r="E15" i="6"/>
  <c r="J15" i="6" l="1"/>
</calcChain>
</file>

<file path=xl/sharedStrings.xml><?xml version="1.0" encoding="utf-8"?>
<sst xmlns="http://schemas.openxmlformats.org/spreadsheetml/2006/main" count="571" uniqueCount="124">
  <si>
    <t>Фамилия</t>
  </si>
  <si>
    <t>Отдел</t>
  </si>
  <si>
    <t>Должность</t>
  </si>
  <si>
    <t>Пестова</t>
  </si>
  <si>
    <t>Парадова</t>
  </si>
  <si>
    <t>Воронин</t>
  </si>
  <si>
    <t>Радостин</t>
  </si>
  <si>
    <t>Пронин</t>
  </si>
  <si>
    <t>Аверин</t>
  </si>
  <si>
    <t>ОК</t>
  </si>
  <si>
    <t>ОГЭ</t>
  </si>
  <si>
    <t>ОГМ</t>
  </si>
  <si>
    <t>Бухгалтер</t>
  </si>
  <si>
    <t>Инспектор</t>
  </si>
  <si>
    <t>Электрик</t>
  </si>
  <si>
    <t>Механик</t>
  </si>
  <si>
    <t>Дата 
рождения</t>
  </si>
  <si>
    <t>Дата 
приема  
на 
работу</t>
  </si>
  <si>
    <t>Оклад 
(руб)</t>
  </si>
  <si>
    <t>Номер 
телефона</t>
  </si>
  <si>
    <t>Количество 
детей</t>
  </si>
  <si>
    <t>Номер 
приказа</t>
  </si>
  <si>
    <t>Дата 
приказа</t>
  </si>
  <si>
    <t>Л-123</t>
  </si>
  <si>
    <t>Л-124</t>
  </si>
  <si>
    <t>Л-125</t>
  </si>
  <si>
    <t>Л-127</t>
  </si>
  <si>
    <t>Л-129</t>
  </si>
  <si>
    <t>Л-130</t>
  </si>
  <si>
    <t>Кришин</t>
  </si>
  <si>
    <t>Гудков</t>
  </si>
  <si>
    <t>ОГК</t>
  </si>
  <si>
    <t>Инженер</t>
  </si>
  <si>
    <t>Пол</t>
  </si>
  <si>
    <t>ж</t>
  </si>
  <si>
    <t>м</t>
  </si>
  <si>
    <t>Строителей</t>
  </si>
  <si>
    <t>улица</t>
  </si>
  <si>
    <t>&gt;12.11.1979</t>
  </si>
  <si>
    <t>а</t>
  </si>
  <si>
    <t>б</t>
  </si>
  <si>
    <t>январь</t>
  </si>
  <si>
    <t>февраль</t>
  </si>
  <si>
    <t>март</t>
  </si>
  <si>
    <t>апрель</t>
  </si>
  <si>
    <t>май</t>
  </si>
  <si>
    <t>июнь</t>
  </si>
  <si>
    <t>Отдел 1</t>
  </si>
  <si>
    <t>ПТР 1</t>
  </si>
  <si>
    <t>ПТР 2</t>
  </si>
  <si>
    <t>ПТР 3</t>
  </si>
  <si>
    <t>ПТР 4</t>
  </si>
  <si>
    <t>ПТР 5</t>
  </si>
  <si>
    <t>Отдел 1
всего</t>
  </si>
  <si>
    <t>Отдел 2</t>
  </si>
  <si>
    <t>ПТР 7</t>
  </si>
  <si>
    <t>Отдел 2
всего</t>
  </si>
  <si>
    <t>ИТОГО</t>
  </si>
  <si>
    <t>Общие итоги
за 1-2 кв.</t>
  </si>
  <si>
    <t>1 кв.</t>
  </si>
  <si>
    <t>2 кв.</t>
  </si>
  <si>
    <t>Общее количество</t>
  </si>
  <si>
    <t>Бухгалтер Количество</t>
  </si>
  <si>
    <t>Инспектор Количество</t>
  </si>
  <si>
    <t>Электрик Количество</t>
  </si>
  <si>
    <t>Механик Количество</t>
  </si>
  <si>
    <t>Инженер Количество</t>
  </si>
  <si>
    <t>ОК Количество</t>
  </si>
  <si>
    <t>ОГЭ Количество</t>
  </si>
  <si>
    <t>ОГМ Количество</t>
  </si>
  <si>
    <t>ОГК Количество</t>
  </si>
  <si>
    <t>ОК Итог</t>
  </si>
  <si>
    <t>ОГЭ Итог</t>
  </si>
  <si>
    <t>ОГМ Итог</t>
  </si>
  <si>
    <t>ОГК Итог</t>
  </si>
  <si>
    <t>Общий итог</t>
  </si>
  <si>
    <t>средний оклад</t>
  </si>
  <si>
    <t>&gt;=12.11.1989</t>
  </si>
  <si>
    <t>Дата</t>
  </si>
  <si>
    <t>НЕ СДЕЛАНО!!!!!!!</t>
  </si>
  <si>
    <t>Поставщик</t>
  </si>
  <si>
    <t>Товар</t>
  </si>
  <si>
    <t>Цена</t>
  </si>
  <si>
    <t>Колич.</t>
  </si>
  <si>
    <t>Сумма</t>
  </si>
  <si>
    <t>ООО
"Елена"</t>
  </si>
  <si>
    <t>ЧП Петров</t>
  </si>
  <si>
    <t>Сибирь-
Манго</t>
  </si>
  <si>
    <t>апельсины</t>
  </si>
  <si>
    <t>бананы</t>
  </si>
  <si>
    <t>абрикосы</t>
  </si>
  <si>
    <t>киви</t>
  </si>
  <si>
    <t>картофель</t>
  </si>
  <si>
    <t>лук</t>
  </si>
  <si>
    <t>капуста</t>
  </si>
  <si>
    <t>Названия строк</t>
  </si>
  <si>
    <t>Сумма по полю Сумма</t>
  </si>
  <si>
    <t xml:space="preserve">Количество </t>
  </si>
  <si>
    <t>Наименование товара</t>
  </si>
  <si>
    <t>Стоимость</t>
  </si>
  <si>
    <t>PS3</t>
  </si>
  <si>
    <t>PS4</t>
  </si>
  <si>
    <t>PS5</t>
  </si>
  <si>
    <t>PS6</t>
  </si>
  <si>
    <t>PS7</t>
  </si>
  <si>
    <t>PS8</t>
  </si>
  <si>
    <t>PS9</t>
  </si>
  <si>
    <t>PS10</t>
  </si>
  <si>
    <t>PS11</t>
  </si>
  <si>
    <t>PS12</t>
  </si>
  <si>
    <t>PS13</t>
  </si>
  <si>
    <t>Dendy1</t>
  </si>
  <si>
    <t>Dendy2</t>
  </si>
  <si>
    <t>Dendy3</t>
  </si>
  <si>
    <t>Dendy4</t>
  </si>
  <si>
    <t>Dendy5</t>
  </si>
  <si>
    <t>Dendy6</t>
  </si>
  <si>
    <t>Dendy7</t>
  </si>
  <si>
    <t>Dendy8</t>
  </si>
  <si>
    <t>Dendy9</t>
  </si>
  <si>
    <t>Dendy10</t>
  </si>
  <si>
    <t>Dendy11</t>
  </si>
  <si>
    <t>Электронные Таблицы (Обработка Данных)</t>
  </si>
  <si>
    <t>консолидация по расположению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</si>
</sst>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72"/>
      <color rgb="FFFF000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0" fontId="0" fillId="0" borderId="0" xfId="0" applyBorder="1"/>
    <xf numFmtId="14" fontId="0" fillId="0" borderId="0" xfId="0" applyNumberFormat="1" applyBorder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14" fontId="0" fillId="0" borderId="3" xfId="0" applyNumberFormat="1" applyBorder="1"/>
    <xf numFmtId="0" fontId="1" fillId="0" borderId="2" xfId="0" applyFont="1" applyBorder="1" applyAlignment="1">
      <alignment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1" xfId="0" applyFill="1" applyBorder="1"/>
    <xf numFmtId="14" fontId="0" fillId="0" borderId="0" xfId="0" applyNumberFormat="1"/>
    <xf numFmtId="0" fontId="1" fillId="0" borderId="4" xfId="0" applyFont="1" applyFill="1" applyBorder="1" applyAlignment="1">
      <alignment horizontal="center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/>
    <xf numFmtId="14" fontId="0" fillId="0" borderId="1" xfId="0" applyNumberFormat="1" applyFont="1" applyBorder="1"/>
    <xf numFmtId="0" fontId="0" fillId="0" borderId="1" xfId="0" applyFont="1" applyBorder="1"/>
    <xf numFmtId="0" fontId="0" fillId="0" borderId="5" xfId="0" applyBorder="1"/>
    <xf numFmtId="0" fontId="0" fillId="0" borderId="6" xfId="0" applyBorder="1"/>
    <xf numFmtId="0" fontId="2" fillId="3" borderId="2" xfId="0" applyFont="1" applyFill="1" applyBorder="1" applyAlignment="1">
      <alignment horizontal="center" vertical="top" wrapText="1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 wrapText="1"/>
    </xf>
    <xf numFmtId="0" fontId="0" fillId="0" borderId="11" xfId="0" applyBorder="1"/>
    <xf numFmtId="14" fontId="0" fillId="0" borderId="12" xfId="0" applyNumberFormat="1" applyBorder="1"/>
    <xf numFmtId="0" fontId="0" fillId="0" borderId="12" xfId="0" applyBorder="1"/>
    <xf numFmtId="0" fontId="0" fillId="0" borderId="13" xfId="0" applyBorder="1"/>
    <xf numFmtId="0" fontId="0" fillId="0" borderId="0" xfId="0" applyAlignment="1"/>
    <xf numFmtId="0" fontId="3" fillId="0" borderId="0" xfId="0" applyFont="1" applyAlignment="1"/>
    <xf numFmtId="1" fontId="0" fillId="0" borderId="1" xfId="0" applyNumberForma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1" fontId="0" fillId="0" borderId="1" xfId="0" applyNumberForma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4" fillId="0" borderId="0" xfId="0" applyFont="1"/>
  </cellXfs>
  <cellStyles count="1">
    <cellStyle name="Обычный" xfId="0" builtinId="0"/>
  </cellStyles>
  <dxfs count="28"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 diagonalUp="0" diagonalDown="0" outline="0">
        <left style="thin">
          <color indexed="64"/>
        </left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3783.637761458333" createdVersion="6" refreshedVersion="6" minRefreshableVersion="3" recordCount="11">
  <cacheSource type="worksheet">
    <worksheetSource ref="A1:F12" sheet="2.4 Сводная таблица"/>
  </cacheSource>
  <cacheFields count="6">
    <cacheField name="Дата" numFmtId="14">
      <sharedItems containsSemiMixedTypes="0" containsNonDate="0" containsDate="1" containsString="0" minDate="2019-01-22T00:00:00" maxDate="2019-01-26T00:00:00" count="3">
        <d v="2019-01-22T00:00:00"/>
        <d v="2019-01-23T00:00:00"/>
        <d v="2019-01-25T00:00:00"/>
      </sharedItems>
    </cacheField>
    <cacheField name="Поставщик" numFmtId="0">
      <sharedItems count="3">
        <s v="ООО_x000a_&quot;Елена&quot;"/>
        <s v="ЧП Петров"/>
        <s v="Сибирь-_x000a_Манго"/>
      </sharedItems>
    </cacheField>
    <cacheField name="Товар" numFmtId="0">
      <sharedItems/>
    </cacheField>
    <cacheField name="Цена" numFmtId="0">
      <sharedItems containsSemiMixedTypes="0" containsString="0" containsNumber="1" containsInteger="1" minValue="5" maxValue="500" count="7">
        <n v="38"/>
        <n v="22"/>
        <n v="40"/>
        <n v="5"/>
        <n v="8"/>
        <n v="500"/>
        <n v="12"/>
      </sharedItems>
    </cacheField>
    <cacheField name="Колич." numFmtId="0">
      <sharedItems containsSemiMixedTypes="0" containsString="0" containsNumber="1" containsInteger="1" minValue="1" maxValue="120"/>
    </cacheField>
    <cacheField name="Сумма" numFmtId="0">
      <sharedItems containsSemiMixedTypes="0" containsString="0" containsNumber="1" containsInteger="1" minValue="250" maxValue="11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s v="апельсины"/>
    <x v="0"/>
    <n v="30"/>
    <n v="1140"/>
  </r>
  <r>
    <x v="0"/>
    <x v="0"/>
    <s v="бананы"/>
    <x v="1"/>
    <n v="30"/>
    <n v="660"/>
  </r>
  <r>
    <x v="0"/>
    <x v="1"/>
    <s v="абрикосы"/>
    <x v="2"/>
    <n v="10"/>
    <n v="400"/>
  </r>
  <r>
    <x v="0"/>
    <x v="1"/>
    <s v="киви"/>
    <x v="3"/>
    <n v="50"/>
    <n v="250"/>
  </r>
  <r>
    <x v="1"/>
    <x v="2"/>
    <s v="картофель"/>
    <x v="4"/>
    <n v="120"/>
    <n v="960"/>
  </r>
  <r>
    <x v="1"/>
    <x v="2"/>
    <s v="лук"/>
    <x v="5"/>
    <n v="2"/>
    <n v="1000"/>
  </r>
  <r>
    <x v="1"/>
    <x v="2"/>
    <s v="капуста"/>
    <x v="6"/>
    <n v="40"/>
    <n v="480"/>
  </r>
  <r>
    <x v="2"/>
    <x v="0"/>
    <s v="апельсины"/>
    <x v="0"/>
    <n v="20"/>
    <n v="760"/>
  </r>
  <r>
    <x v="2"/>
    <x v="0"/>
    <s v="бананы"/>
    <x v="1"/>
    <n v="15"/>
    <n v="330"/>
  </r>
  <r>
    <x v="2"/>
    <x v="2"/>
    <s v="картофель"/>
    <x v="4"/>
    <n v="70"/>
    <n v="560"/>
  </r>
  <r>
    <x v="2"/>
    <x v="2"/>
    <s v="лук"/>
    <x v="5"/>
    <n v="1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6:B25" firstHeaderRow="1" firstDataRow="1" firstDataCol="1"/>
  <pivotFields count="6">
    <pivotField axis="axisRow" numFmtId="14" showAll="0">
      <items count="4">
        <item x="0"/>
        <item x="1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2">
    <field x="0"/>
    <field x="1"/>
  </rowFields>
  <rowItems count="9">
    <i>
      <x/>
    </i>
    <i r="1">
      <x/>
    </i>
    <i r="1">
      <x v="2"/>
    </i>
    <i>
      <x v="1"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Сумма по полю Сумм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I17" headerRowBorderDxfId="27" tableBorderDxfId="26">
  <autoFilter ref="A1:I17"/>
  <tableColumns count="9">
    <tableColumn id="1" name="Фамилия" totalsRowLabel="Итог" dataDxfId="25" totalsRowDxfId="24"/>
    <tableColumn id="2" name="Дата" dataDxfId="23" totalsRowDxfId="22"/>
    <tableColumn id="3" name="Номер _x000a_телефона" dataDxfId="21" totalsRowDxfId="20"/>
    <tableColumn id="4" name="Количество _x000a_детей" dataDxfId="19" totalsRowDxfId="18"/>
    <tableColumn id="5" name="Отдел" dataDxfId="17" totalsRowDxfId="16"/>
    <tableColumn id="6" name="Должность" dataDxfId="15" totalsRowDxfId="14"/>
    <tableColumn id="7" name="Дата _x000a_приема  _x000a_на _x000a_работу" dataDxfId="13" totalsRowDxfId="12"/>
    <tableColumn id="8" name="Оклад _x000a_(руб)" dataDxfId="11" totalsRowDxfId="10"/>
    <tableColumn id="9" name="Пол" totalsRowFunction="count" dataDxfId="9" totalsRow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sqref="A1:I9"/>
    </sheetView>
  </sheetViews>
  <sheetFormatPr defaultRowHeight="15" x14ac:dyDescent="0.25"/>
  <cols>
    <col min="2" max="2" width="10.28515625" customWidth="1"/>
    <col min="3" max="3" width="10" customWidth="1"/>
    <col min="4" max="4" width="11.5703125" customWidth="1"/>
    <col min="5" max="5" width="8" customWidth="1"/>
    <col min="6" max="6" width="11.28515625" customWidth="1"/>
    <col min="7" max="7" width="8.140625" customWidth="1"/>
    <col min="8" max="8" width="6.85546875" customWidth="1"/>
    <col min="11" max="11" width="10.140625" customWidth="1"/>
  </cols>
  <sheetData>
    <row r="1" spans="1:16" ht="60.75" customHeight="1" thickBot="1" x14ac:dyDescent="0.3">
      <c r="A1" s="6" t="s">
        <v>0</v>
      </c>
      <c r="B1" s="7" t="s">
        <v>16</v>
      </c>
      <c r="C1" s="7" t="s">
        <v>19</v>
      </c>
      <c r="D1" s="7" t="s">
        <v>20</v>
      </c>
      <c r="E1" s="6" t="s">
        <v>1</v>
      </c>
      <c r="F1" s="6" t="s">
        <v>2</v>
      </c>
      <c r="G1" s="7" t="s">
        <v>17</v>
      </c>
      <c r="H1" s="7" t="s">
        <v>18</v>
      </c>
      <c r="I1" s="10" t="s">
        <v>33</v>
      </c>
      <c r="J1" s="4"/>
      <c r="K1" s="4"/>
      <c r="L1" s="4"/>
      <c r="M1" s="4"/>
      <c r="N1" s="4"/>
      <c r="O1" s="4"/>
      <c r="P1" s="4"/>
    </row>
    <row r="2" spans="1:16" x14ac:dyDescent="0.25">
      <c r="A2" s="3" t="s">
        <v>3</v>
      </c>
      <c r="B2" s="8">
        <v>29790</v>
      </c>
      <c r="C2" s="3">
        <v>1245037</v>
      </c>
      <c r="D2" s="3">
        <v>1</v>
      </c>
      <c r="E2" s="3" t="s">
        <v>9</v>
      </c>
      <c r="F2" s="3" t="s">
        <v>12</v>
      </c>
      <c r="G2" s="3"/>
      <c r="H2" s="3"/>
      <c r="I2" s="3" t="s">
        <v>34</v>
      </c>
      <c r="J2" s="4"/>
      <c r="K2" s="5"/>
      <c r="L2" s="4"/>
      <c r="M2" s="4"/>
      <c r="N2" s="4"/>
      <c r="O2" s="4"/>
      <c r="P2" s="4"/>
    </row>
    <row r="3" spans="1:16" x14ac:dyDescent="0.25">
      <c r="A3" s="1" t="s">
        <v>4</v>
      </c>
      <c r="B3" s="2">
        <v>29572</v>
      </c>
      <c r="C3" s="1">
        <v>345037</v>
      </c>
      <c r="D3" s="1">
        <v>2</v>
      </c>
      <c r="E3" s="1" t="s">
        <v>9</v>
      </c>
      <c r="F3" s="1" t="s">
        <v>13</v>
      </c>
      <c r="G3" s="1"/>
      <c r="H3" s="1"/>
      <c r="I3" s="1" t="s">
        <v>34</v>
      </c>
      <c r="J3" s="4"/>
      <c r="K3" s="4"/>
      <c r="L3" s="4"/>
      <c r="M3" s="4"/>
      <c r="N3" s="4"/>
      <c r="O3" s="4"/>
      <c r="P3" s="4"/>
    </row>
    <row r="4" spans="1:16" x14ac:dyDescent="0.25">
      <c r="A4" s="1" t="s">
        <v>5</v>
      </c>
      <c r="B4" s="2">
        <v>28564</v>
      </c>
      <c r="C4" s="1">
        <v>1245031</v>
      </c>
      <c r="D4" s="1">
        <v>3</v>
      </c>
      <c r="E4" s="1" t="s">
        <v>10</v>
      </c>
      <c r="F4" s="1" t="s">
        <v>14</v>
      </c>
      <c r="G4" s="1"/>
      <c r="H4" s="1"/>
      <c r="I4" s="1" t="s">
        <v>35</v>
      </c>
      <c r="J4" s="4"/>
      <c r="K4" s="4"/>
      <c r="L4" s="4"/>
      <c r="M4" s="4"/>
      <c r="N4" s="4"/>
      <c r="O4" s="4"/>
      <c r="P4" s="4"/>
    </row>
    <row r="5" spans="1:16" x14ac:dyDescent="0.25">
      <c r="A5" s="1" t="s">
        <v>6</v>
      </c>
      <c r="B5" s="2">
        <v>26783</v>
      </c>
      <c r="C5" s="1">
        <v>545037</v>
      </c>
      <c r="D5" s="1">
        <v>1</v>
      </c>
      <c r="E5" s="1" t="s">
        <v>11</v>
      </c>
      <c r="F5" s="1" t="s">
        <v>15</v>
      </c>
      <c r="G5" s="1"/>
      <c r="H5" s="1"/>
      <c r="I5" s="1" t="s">
        <v>35</v>
      </c>
      <c r="J5" s="4"/>
      <c r="K5" s="4"/>
      <c r="L5" s="4"/>
      <c r="M5" s="4"/>
      <c r="N5" s="4"/>
      <c r="O5" s="4"/>
      <c r="P5" s="4"/>
    </row>
    <row r="6" spans="1:16" x14ac:dyDescent="0.25">
      <c r="A6" s="1" t="s">
        <v>7</v>
      </c>
      <c r="B6" s="2">
        <v>30934</v>
      </c>
      <c r="C6" s="1">
        <v>1245557</v>
      </c>
      <c r="D6" s="1">
        <v>2</v>
      </c>
      <c r="E6" s="1" t="s">
        <v>11</v>
      </c>
      <c r="F6" s="1" t="s">
        <v>15</v>
      </c>
      <c r="G6" s="1"/>
      <c r="H6" s="1"/>
      <c r="I6" s="1" t="s">
        <v>35</v>
      </c>
    </row>
    <row r="7" spans="1:16" x14ac:dyDescent="0.25">
      <c r="A7" s="1" t="s">
        <v>8</v>
      </c>
      <c r="B7" s="2">
        <v>27544</v>
      </c>
      <c r="C7" s="1">
        <v>121313</v>
      </c>
      <c r="D7" s="1">
        <v>1</v>
      </c>
      <c r="E7" s="1" t="s">
        <v>11</v>
      </c>
      <c r="F7" s="1" t="s">
        <v>15</v>
      </c>
      <c r="G7" s="1"/>
      <c r="H7" s="1"/>
      <c r="I7" s="1" t="s">
        <v>35</v>
      </c>
    </row>
    <row r="8" spans="1:16" x14ac:dyDescent="0.25">
      <c r="A8" s="1" t="s">
        <v>29</v>
      </c>
      <c r="B8" s="2">
        <v>28435</v>
      </c>
      <c r="C8" s="1">
        <v>121212</v>
      </c>
      <c r="D8" s="1">
        <v>0</v>
      </c>
      <c r="E8" s="1" t="s">
        <v>10</v>
      </c>
      <c r="F8" s="1" t="s">
        <v>14</v>
      </c>
      <c r="G8" s="1"/>
      <c r="H8" s="1"/>
      <c r="I8" s="1" t="s">
        <v>35</v>
      </c>
    </row>
    <row r="9" spans="1:16" x14ac:dyDescent="0.25">
      <c r="A9" s="1" t="s">
        <v>30</v>
      </c>
      <c r="B9" s="2">
        <v>28567</v>
      </c>
      <c r="C9" s="1">
        <v>123421</v>
      </c>
      <c r="D9" s="1">
        <v>2</v>
      </c>
      <c r="E9" s="1" t="s">
        <v>31</v>
      </c>
      <c r="F9" s="1" t="s">
        <v>32</v>
      </c>
      <c r="G9" s="1"/>
      <c r="H9" s="1"/>
      <c r="I9" s="1" t="s">
        <v>35</v>
      </c>
    </row>
    <row r="11" spans="1:16" x14ac:dyDescent="0.25">
      <c r="L1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sqref="A1:I9"/>
    </sheetView>
  </sheetViews>
  <sheetFormatPr defaultRowHeight="15" x14ac:dyDescent="0.25"/>
  <cols>
    <col min="2" max="2" width="10.5703125" customWidth="1"/>
    <col min="3" max="3" width="10" customWidth="1"/>
    <col min="6" max="6" width="11.28515625" customWidth="1"/>
  </cols>
  <sheetData>
    <row r="1" spans="1:9" ht="60.75" thickBot="1" x14ac:dyDescent="0.3">
      <c r="A1" s="6" t="s">
        <v>0</v>
      </c>
      <c r="B1" s="7" t="s">
        <v>16</v>
      </c>
      <c r="C1" s="7" t="s">
        <v>19</v>
      </c>
      <c r="D1" s="7" t="s">
        <v>20</v>
      </c>
      <c r="E1" s="6" t="s">
        <v>1</v>
      </c>
      <c r="F1" s="6" t="s">
        <v>2</v>
      </c>
      <c r="G1" s="7" t="s">
        <v>17</v>
      </c>
      <c r="H1" s="7" t="s">
        <v>18</v>
      </c>
      <c r="I1" s="10" t="s">
        <v>33</v>
      </c>
    </row>
    <row r="2" spans="1:9" x14ac:dyDescent="0.25">
      <c r="A2" s="3" t="s">
        <v>3</v>
      </c>
      <c r="B2" s="8">
        <v>29790</v>
      </c>
      <c r="C2" s="3">
        <v>1245037</v>
      </c>
      <c r="D2" s="3">
        <v>1</v>
      </c>
      <c r="E2" s="3" t="s">
        <v>9</v>
      </c>
      <c r="F2" s="3" t="s">
        <v>12</v>
      </c>
      <c r="G2" s="3"/>
      <c r="H2" s="3"/>
      <c r="I2" s="3" t="s">
        <v>34</v>
      </c>
    </row>
    <row r="3" spans="1:9" x14ac:dyDescent="0.25">
      <c r="A3" s="1" t="s">
        <v>30</v>
      </c>
      <c r="B3" s="2">
        <v>28567</v>
      </c>
      <c r="C3" s="1">
        <v>123421</v>
      </c>
      <c r="D3" s="1">
        <v>2</v>
      </c>
      <c r="E3" s="1" t="s">
        <v>31</v>
      </c>
      <c r="F3" s="1" t="s">
        <v>32</v>
      </c>
      <c r="G3" s="1"/>
      <c r="H3" s="1"/>
      <c r="I3" s="1" t="s">
        <v>35</v>
      </c>
    </row>
    <row r="4" spans="1:9" x14ac:dyDescent="0.25">
      <c r="A4" s="1" t="s">
        <v>4</v>
      </c>
      <c r="B4" s="2">
        <v>29572</v>
      </c>
      <c r="C4" s="1">
        <v>345037</v>
      </c>
      <c r="D4" s="1">
        <v>2</v>
      </c>
      <c r="E4" s="1" t="s">
        <v>9</v>
      </c>
      <c r="F4" s="1" t="s">
        <v>13</v>
      </c>
      <c r="G4" s="1"/>
      <c r="H4" s="1"/>
      <c r="I4" s="1" t="s">
        <v>34</v>
      </c>
    </row>
    <row r="5" spans="1:9" x14ac:dyDescent="0.25">
      <c r="A5" s="1" t="s">
        <v>8</v>
      </c>
      <c r="B5" s="2">
        <v>27544</v>
      </c>
      <c r="C5" s="1">
        <v>121</v>
      </c>
      <c r="D5" s="1">
        <v>1</v>
      </c>
      <c r="E5" s="1" t="s">
        <v>11</v>
      </c>
      <c r="F5" s="1" t="s">
        <v>15</v>
      </c>
      <c r="G5" s="1"/>
      <c r="H5" s="1"/>
      <c r="I5" s="1" t="s">
        <v>35</v>
      </c>
    </row>
    <row r="6" spans="1:9" x14ac:dyDescent="0.25">
      <c r="A6" s="1" t="s">
        <v>7</v>
      </c>
      <c r="B6" s="2">
        <v>30934</v>
      </c>
      <c r="C6" s="1">
        <v>1245557</v>
      </c>
      <c r="D6" s="1">
        <v>2</v>
      </c>
      <c r="E6" s="1" t="s">
        <v>11</v>
      </c>
      <c r="F6" s="1" t="s">
        <v>15</v>
      </c>
      <c r="G6" s="1"/>
      <c r="H6" s="1"/>
      <c r="I6" s="1" t="s">
        <v>35</v>
      </c>
    </row>
    <row r="7" spans="1:9" x14ac:dyDescent="0.25">
      <c r="A7" s="1" t="s">
        <v>6</v>
      </c>
      <c r="B7" s="2">
        <v>26783</v>
      </c>
      <c r="C7" s="1">
        <v>545037</v>
      </c>
      <c r="D7" s="1">
        <v>1</v>
      </c>
      <c r="E7" s="1" t="s">
        <v>11</v>
      </c>
      <c r="F7" s="1" t="s">
        <v>15</v>
      </c>
      <c r="G7" s="1"/>
      <c r="H7" s="1"/>
      <c r="I7" s="1" t="s">
        <v>35</v>
      </c>
    </row>
    <row r="8" spans="1:9" x14ac:dyDescent="0.25">
      <c r="A8" s="1" t="s">
        <v>5</v>
      </c>
      <c r="B8" s="2">
        <v>28564</v>
      </c>
      <c r="C8" s="1">
        <v>1245031</v>
      </c>
      <c r="D8" s="1">
        <v>3</v>
      </c>
      <c r="E8" s="1" t="s">
        <v>10</v>
      </c>
      <c r="F8" s="1" t="s">
        <v>14</v>
      </c>
      <c r="G8" s="1"/>
      <c r="H8" s="1"/>
      <c r="I8" s="1" t="s">
        <v>35</v>
      </c>
    </row>
    <row r="9" spans="1:9" x14ac:dyDescent="0.25">
      <c r="A9" s="1" t="s">
        <v>29</v>
      </c>
      <c r="B9" s="2">
        <v>28435</v>
      </c>
      <c r="C9" s="1">
        <v>121212</v>
      </c>
      <c r="D9" s="1">
        <v>0</v>
      </c>
      <c r="E9" s="1" t="s">
        <v>10</v>
      </c>
      <c r="F9" s="1" t="s">
        <v>14</v>
      </c>
      <c r="G9" s="1"/>
      <c r="H9" s="1"/>
      <c r="I9" s="1" t="s">
        <v>35</v>
      </c>
    </row>
  </sheetData>
  <sortState ref="A2:I9">
    <sortCondition ref="F2:F9"/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C1" workbookViewId="0">
      <selection activeCell="U2" sqref="U2:U9"/>
    </sheetView>
  </sheetViews>
  <sheetFormatPr defaultRowHeight="15" x14ac:dyDescent="0.25"/>
  <cols>
    <col min="2" max="2" width="10.140625" customWidth="1"/>
    <col min="6" max="6" width="11.28515625" customWidth="1"/>
    <col min="9" max="9" width="11.28515625" customWidth="1"/>
    <col min="11" max="12" width="10.140625" customWidth="1"/>
    <col min="14" max="14" width="10.5703125" customWidth="1"/>
    <col min="15" max="15" width="10" customWidth="1"/>
    <col min="16" max="16" width="11.5703125" customWidth="1"/>
    <col min="18" max="18" width="11.28515625" customWidth="1"/>
    <col min="19" max="19" width="8.140625" customWidth="1"/>
  </cols>
  <sheetData>
    <row r="1" spans="1:22" ht="60.75" thickBot="1" x14ac:dyDescent="0.3">
      <c r="A1" s="6" t="s">
        <v>0</v>
      </c>
      <c r="B1" s="7" t="s">
        <v>16</v>
      </c>
      <c r="C1" s="7" t="s">
        <v>19</v>
      </c>
      <c r="D1" s="7" t="s">
        <v>20</v>
      </c>
      <c r="E1" s="6" t="s">
        <v>1</v>
      </c>
      <c r="F1" s="6" t="s">
        <v>2</v>
      </c>
      <c r="G1" s="7" t="s">
        <v>17</v>
      </c>
      <c r="H1" s="7" t="s">
        <v>18</v>
      </c>
      <c r="I1" s="10" t="s">
        <v>33</v>
      </c>
      <c r="K1" s="9" t="s">
        <v>21</v>
      </c>
      <c r="L1" s="9" t="s">
        <v>22</v>
      </c>
      <c r="N1" s="6" t="s">
        <v>0</v>
      </c>
      <c r="O1" s="7" t="s">
        <v>16</v>
      </c>
      <c r="P1" s="7" t="s">
        <v>19</v>
      </c>
      <c r="Q1" s="7" t="s">
        <v>20</v>
      </c>
      <c r="R1" s="6" t="s">
        <v>1</v>
      </c>
      <c r="S1" s="6" t="s">
        <v>2</v>
      </c>
      <c r="T1" s="7" t="s">
        <v>17</v>
      </c>
      <c r="U1" s="7" t="s">
        <v>18</v>
      </c>
      <c r="V1" s="10" t="s">
        <v>33</v>
      </c>
    </row>
    <row r="2" spans="1:22" x14ac:dyDescent="0.25">
      <c r="A2" s="3" t="s">
        <v>8</v>
      </c>
      <c r="B2" s="8">
        <v>27544</v>
      </c>
      <c r="C2" s="3">
        <v>121313</v>
      </c>
      <c r="D2" s="3">
        <v>1</v>
      </c>
      <c r="E2" s="3" t="s">
        <v>11</v>
      </c>
      <c r="F2" s="3" t="s">
        <v>15</v>
      </c>
      <c r="G2" s="3"/>
      <c r="H2" s="3">
        <v>9000</v>
      </c>
      <c r="I2" s="3" t="s">
        <v>35</v>
      </c>
      <c r="K2" s="3" t="s">
        <v>23</v>
      </c>
      <c r="L2" s="8">
        <v>40653</v>
      </c>
      <c r="N2" s="3" t="s">
        <v>8</v>
      </c>
      <c r="O2" s="8">
        <v>27544</v>
      </c>
      <c r="P2" s="3">
        <v>121313</v>
      </c>
      <c r="Q2" s="3">
        <v>1</v>
      </c>
      <c r="R2" s="3" t="s">
        <v>11</v>
      </c>
      <c r="S2" s="3" t="s">
        <v>15</v>
      </c>
      <c r="T2" s="3"/>
      <c r="U2" s="3">
        <v>9000</v>
      </c>
      <c r="V2" s="3" t="s">
        <v>35</v>
      </c>
    </row>
    <row r="3" spans="1:22" x14ac:dyDescent="0.25">
      <c r="A3" s="1" t="s">
        <v>5</v>
      </c>
      <c r="B3" s="2">
        <v>28564</v>
      </c>
      <c r="C3" s="1">
        <v>1245031</v>
      </c>
      <c r="D3" s="1">
        <v>3</v>
      </c>
      <c r="E3" s="1" t="s">
        <v>10</v>
      </c>
      <c r="F3" s="1" t="s">
        <v>14</v>
      </c>
      <c r="G3" s="1"/>
      <c r="H3" s="1">
        <v>55555</v>
      </c>
      <c r="I3" s="1" t="s">
        <v>35</v>
      </c>
      <c r="K3" s="3" t="s">
        <v>24</v>
      </c>
      <c r="L3" s="8">
        <v>40654</v>
      </c>
      <c r="N3" s="1" t="s">
        <v>5</v>
      </c>
      <c r="O3" s="2">
        <v>28564</v>
      </c>
      <c r="P3" s="1">
        <v>1245031</v>
      </c>
      <c r="Q3" s="1">
        <v>3</v>
      </c>
      <c r="R3" s="1" t="s">
        <v>10</v>
      </c>
      <c r="S3" s="1" t="s">
        <v>14</v>
      </c>
      <c r="T3" s="1"/>
      <c r="U3" s="1">
        <v>55555</v>
      </c>
      <c r="V3" s="1" t="s">
        <v>35</v>
      </c>
    </row>
    <row r="4" spans="1:22" x14ac:dyDescent="0.25">
      <c r="A4" s="1" t="s">
        <v>30</v>
      </c>
      <c r="B4" s="2">
        <v>28567</v>
      </c>
      <c r="C4" s="1">
        <v>123421</v>
      </c>
      <c r="D4" s="1">
        <v>2</v>
      </c>
      <c r="E4" s="1" t="s">
        <v>31</v>
      </c>
      <c r="F4" s="1" t="s">
        <v>32</v>
      </c>
      <c r="G4" s="1"/>
      <c r="H4" s="1">
        <v>120000</v>
      </c>
      <c r="I4" s="1" t="s">
        <v>35</v>
      </c>
      <c r="K4" s="3" t="s">
        <v>25</v>
      </c>
      <c r="L4" s="8">
        <v>40655</v>
      </c>
      <c r="N4" s="1" t="s">
        <v>30</v>
      </c>
      <c r="O4" s="2">
        <v>28567</v>
      </c>
      <c r="P4" s="1">
        <v>123421</v>
      </c>
      <c r="Q4" s="1">
        <v>2</v>
      </c>
      <c r="R4" s="1" t="s">
        <v>31</v>
      </c>
      <c r="S4" s="1" t="s">
        <v>32</v>
      </c>
      <c r="T4" s="1"/>
      <c r="U4" s="1">
        <v>25000</v>
      </c>
      <c r="V4" s="1" t="s">
        <v>35</v>
      </c>
    </row>
    <row r="5" spans="1:22" x14ac:dyDescent="0.25">
      <c r="A5" s="1" t="s">
        <v>29</v>
      </c>
      <c r="B5" s="2">
        <v>28435</v>
      </c>
      <c r="C5" s="1">
        <v>121212</v>
      </c>
      <c r="D5" s="1">
        <v>0</v>
      </c>
      <c r="E5" s="1" t="s">
        <v>10</v>
      </c>
      <c r="F5" s="1" t="s">
        <v>14</v>
      </c>
      <c r="G5" s="1"/>
      <c r="H5" s="1">
        <v>50000</v>
      </c>
      <c r="I5" s="1" t="s">
        <v>35</v>
      </c>
      <c r="K5" s="3" t="s">
        <v>23</v>
      </c>
      <c r="L5" s="8">
        <v>40653</v>
      </c>
      <c r="N5" s="1" t="s">
        <v>29</v>
      </c>
      <c r="O5" s="2">
        <v>28435</v>
      </c>
      <c r="P5" s="1">
        <v>121212</v>
      </c>
      <c r="Q5" s="1">
        <v>0</v>
      </c>
      <c r="R5" s="1" t="s">
        <v>10</v>
      </c>
      <c r="S5" s="1" t="s">
        <v>14</v>
      </c>
      <c r="T5" s="1"/>
      <c r="U5" s="1">
        <v>50000</v>
      </c>
      <c r="V5" s="1" t="s">
        <v>35</v>
      </c>
    </row>
    <row r="6" spans="1:22" x14ac:dyDescent="0.25">
      <c r="A6" s="1" t="s">
        <v>4</v>
      </c>
      <c r="B6" s="2">
        <v>29572</v>
      </c>
      <c r="C6" s="1">
        <v>345037</v>
      </c>
      <c r="D6" s="1">
        <v>2</v>
      </c>
      <c r="E6" s="1" t="s">
        <v>9</v>
      </c>
      <c r="F6" s="1" t="s">
        <v>13</v>
      </c>
      <c r="G6" s="1"/>
      <c r="H6" s="1">
        <v>5000</v>
      </c>
      <c r="I6" s="1" t="s">
        <v>34</v>
      </c>
      <c r="K6" s="3" t="s">
        <v>26</v>
      </c>
      <c r="L6" s="8">
        <v>40657</v>
      </c>
      <c r="N6" s="1" t="s">
        <v>4</v>
      </c>
      <c r="O6" s="2">
        <v>29572</v>
      </c>
      <c r="P6" s="1">
        <v>345037</v>
      </c>
      <c r="Q6" s="1">
        <v>2</v>
      </c>
      <c r="R6" s="1" t="s">
        <v>9</v>
      </c>
      <c r="S6" s="1" t="s">
        <v>13</v>
      </c>
      <c r="T6" s="1"/>
      <c r="U6" s="1">
        <v>5000</v>
      </c>
      <c r="V6" s="1" t="s">
        <v>34</v>
      </c>
    </row>
    <row r="7" spans="1:22" x14ac:dyDescent="0.25">
      <c r="A7" s="1" t="s">
        <v>3</v>
      </c>
      <c r="B7" s="2">
        <v>29790</v>
      </c>
      <c r="C7" s="1">
        <v>1245037</v>
      </c>
      <c r="D7" s="1">
        <v>1</v>
      </c>
      <c r="E7" s="1" t="s">
        <v>9</v>
      </c>
      <c r="F7" s="1" t="s">
        <v>12</v>
      </c>
      <c r="G7" s="1"/>
      <c r="H7" s="1">
        <v>80000</v>
      </c>
      <c r="I7" s="1" t="s">
        <v>34</v>
      </c>
      <c r="K7" s="3" t="s">
        <v>25</v>
      </c>
      <c r="L7" s="8">
        <v>40655</v>
      </c>
      <c r="N7" s="1" t="s">
        <v>3</v>
      </c>
      <c r="O7" s="2">
        <v>29790</v>
      </c>
      <c r="P7" s="1">
        <v>1245037</v>
      </c>
      <c r="Q7" s="1">
        <v>1</v>
      </c>
      <c r="R7" s="1" t="s">
        <v>9</v>
      </c>
      <c r="S7" s="1" t="s">
        <v>12</v>
      </c>
      <c r="T7" s="1"/>
      <c r="U7" s="1">
        <v>80000</v>
      </c>
      <c r="V7" s="1" t="s">
        <v>34</v>
      </c>
    </row>
    <row r="8" spans="1:22" x14ac:dyDescent="0.25">
      <c r="A8" s="1" t="s">
        <v>7</v>
      </c>
      <c r="B8" s="2">
        <v>30934</v>
      </c>
      <c r="C8" s="1">
        <v>1245557</v>
      </c>
      <c r="D8" s="1">
        <v>2</v>
      </c>
      <c r="E8" s="1" t="s">
        <v>11</v>
      </c>
      <c r="F8" s="1" t="s">
        <v>15</v>
      </c>
      <c r="G8" s="1"/>
      <c r="H8" s="1">
        <v>30000</v>
      </c>
      <c r="I8" s="1" t="s">
        <v>35</v>
      </c>
      <c r="K8" s="3" t="s">
        <v>27</v>
      </c>
      <c r="L8" s="8">
        <v>40659</v>
      </c>
      <c r="N8" s="1" t="s">
        <v>7</v>
      </c>
      <c r="O8" s="2">
        <v>30934</v>
      </c>
      <c r="P8" s="1">
        <v>1245557</v>
      </c>
      <c r="Q8" s="1">
        <v>2</v>
      </c>
      <c r="R8" s="1" t="s">
        <v>11</v>
      </c>
      <c r="S8" s="1" t="s">
        <v>15</v>
      </c>
      <c r="T8" s="1"/>
      <c r="U8" s="1">
        <v>30000</v>
      </c>
      <c r="V8" s="1" t="s">
        <v>35</v>
      </c>
    </row>
    <row r="9" spans="1:22" x14ac:dyDescent="0.25">
      <c r="A9" s="1" t="s">
        <v>6</v>
      </c>
      <c r="B9" s="2">
        <v>26783</v>
      </c>
      <c r="C9" s="1">
        <v>545037</v>
      </c>
      <c r="D9" s="1">
        <v>1</v>
      </c>
      <c r="E9" s="1" t="s">
        <v>11</v>
      </c>
      <c r="F9" s="1" t="s">
        <v>15</v>
      </c>
      <c r="G9" s="1"/>
      <c r="H9" s="1">
        <v>15000</v>
      </c>
      <c r="I9" s="1" t="s">
        <v>35</v>
      </c>
      <c r="K9" s="3" t="s">
        <v>28</v>
      </c>
      <c r="L9" s="8">
        <v>40660</v>
      </c>
      <c r="N9" s="1" t="s">
        <v>6</v>
      </c>
      <c r="O9" s="2">
        <v>26783</v>
      </c>
      <c r="P9" s="1">
        <v>545037</v>
      </c>
      <c r="Q9" s="1">
        <v>1</v>
      </c>
      <c r="R9" s="1" t="s">
        <v>11</v>
      </c>
      <c r="S9" s="1" t="s">
        <v>15</v>
      </c>
      <c r="T9" s="1"/>
      <c r="U9" s="1">
        <v>34100</v>
      </c>
      <c r="V9" s="1" t="s">
        <v>35</v>
      </c>
    </row>
    <row r="10" spans="1:22" x14ac:dyDescent="0.25">
      <c r="K10" s="3" t="s">
        <v>25</v>
      </c>
      <c r="L10" s="8">
        <v>40655</v>
      </c>
    </row>
  </sheetData>
  <conditionalFormatting sqref="K1:L10">
    <cfRule type="cellIs" dxfId="7" priority="13" operator="equal">
      <formula>38831</formula>
    </cfRule>
  </conditionalFormatting>
  <conditionalFormatting sqref="L2:L10">
    <cfRule type="cellIs" dxfId="6" priority="12" operator="equal">
      <formula>38831</formula>
    </cfRule>
  </conditionalFormatting>
  <conditionalFormatting sqref="K2:L10">
    <cfRule type="duplicateValues" dxfId="5" priority="5"/>
    <cfRule type="duplicateValues" dxfId="4" priority="9"/>
    <cfRule type="duplicateValues" dxfId="3" priority="10"/>
    <cfRule type="duplicateValues" dxfId="2" priority="11"/>
  </conditionalFormatting>
  <conditionalFormatting sqref="H2:H9">
    <cfRule type="colorScale" priority="4">
      <colorScale>
        <cfvo type="num" val="5000"/>
        <cfvo type="num" val="30000"/>
        <cfvo type="num" val="120000"/>
        <color rgb="FFF8696B"/>
        <color rgb="FFFFEB84"/>
        <color rgb="FF63BE7B"/>
      </colorScale>
    </cfRule>
  </conditionalFormatting>
  <conditionalFormatting sqref="U2:U9">
    <cfRule type="expression" dxfId="1" priority="1">
      <formula>$U2&gt;30000</formula>
    </cfRule>
    <cfRule type="expression" dxfId="0" priority="2">
      <formula>$U2&lt;10000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"/>
  <sheetViews>
    <sheetView workbookViewId="0">
      <selection activeCell="B5" sqref="B5"/>
    </sheetView>
  </sheetViews>
  <sheetFormatPr defaultRowHeight="15" x14ac:dyDescent="0.25"/>
  <cols>
    <col min="2" max="2" width="10.140625" customWidth="1"/>
    <col min="4" max="4" width="10.140625" customWidth="1"/>
    <col min="6" max="6" width="11.28515625" customWidth="1"/>
    <col min="8" max="8" width="15.85546875" customWidth="1"/>
    <col min="14" max="14" width="10.140625" bestFit="1" customWidth="1"/>
  </cols>
  <sheetData>
    <row r="1" spans="1:11" ht="60.75" thickBot="1" x14ac:dyDescent="0.3">
      <c r="A1" s="6" t="s">
        <v>0</v>
      </c>
      <c r="B1" s="7" t="s">
        <v>16</v>
      </c>
      <c r="C1" s="6" t="s">
        <v>0</v>
      </c>
      <c r="D1" s="7" t="s">
        <v>16</v>
      </c>
      <c r="E1" s="7" t="s">
        <v>19</v>
      </c>
      <c r="F1" s="7" t="s">
        <v>20</v>
      </c>
      <c r="G1" s="6" t="s">
        <v>1</v>
      </c>
      <c r="H1" s="6" t="s">
        <v>2</v>
      </c>
      <c r="I1" s="7" t="s">
        <v>17</v>
      </c>
      <c r="J1" s="7" t="s">
        <v>18</v>
      </c>
      <c r="K1" s="10" t="s">
        <v>33</v>
      </c>
    </row>
    <row r="2" spans="1:11" hidden="1" x14ac:dyDescent="0.25">
      <c r="A2" s="3" t="s">
        <v>3</v>
      </c>
      <c r="B2" s="8">
        <v>29790</v>
      </c>
      <c r="C2" s="3" t="s">
        <v>8</v>
      </c>
      <c r="D2" s="8">
        <v>27544</v>
      </c>
      <c r="E2" s="3">
        <v>121313</v>
      </c>
      <c r="F2" s="3">
        <v>1</v>
      </c>
      <c r="G2" s="3" t="s">
        <v>11</v>
      </c>
      <c r="H2" s="3" t="s">
        <v>15</v>
      </c>
      <c r="I2" s="3"/>
      <c r="J2" s="3">
        <v>14555</v>
      </c>
      <c r="K2" s="3" t="s">
        <v>35</v>
      </c>
    </row>
    <row r="3" spans="1:11" hidden="1" x14ac:dyDescent="0.25">
      <c r="A3" s="1" t="s">
        <v>4</v>
      </c>
      <c r="B3" s="2">
        <v>29572</v>
      </c>
      <c r="C3" s="1" t="s">
        <v>5</v>
      </c>
      <c r="D3" s="2">
        <v>28564</v>
      </c>
      <c r="E3" s="1">
        <v>1245031</v>
      </c>
      <c r="F3" s="1">
        <v>3</v>
      </c>
      <c r="G3" s="1" t="s">
        <v>10</v>
      </c>
      <c r="H3" s="1" t="s">
        <v>14</v>
      </c>
      <c r="I3" s="1"/>
      <c r="J3" s="1">
        <v>23233</v>
      </c>
      <c r="K3" s="1" t="s">
        <v>35</v>
      </c>
    </row>
    <row r="4" spans="1:11" hidden="1" x14ac:dyDescent="0.25">
      <c r="A4" s="1" t="s">
        <v>5</v>
      </c>
      <c r="B4" s="2">
        <v>28564</v>
      </c>
      <c r="C4" s="1" t="s">
        <v>30</v>
      </c>
      <c r="D4" s="2">
        <v>28567</v>
      </c>
      <c r="E4" s="1">
        <v>123421</v>
      </c>
      <c r="F4" s="1">
        <v>2</v>
      </c>
      <c r="G4" s="1" t="s">
        <v>31</v>
      </c>
      <c r="H4" s="1" t="s">
        <v>32</v>
      </c>
      <c r="I4" s="1"/>
      <c r="J4" s="1">
        <v>122222</v>
      </c>
      <c r="K4" s="1" t="s">
        <v>35</v>
      </c>
    </row>
    <row r="5" spans="1:11" x14ac:dyDescent="0.25">
      <c r="A5" s="1" t="s">
        <v>6</v>
      </c>
      <c r="B5" s="2">
        <v>26783</v>
      </c>
      <c r="C5" s="1" t="s">
        <v>29</v>
      </c>
      <c r="D5" s="2">
        <v>28435</v>
      </c>
      <c r="E5" s="1">
        <v>121212</v>
      </c>
      <c r="F5" s="1"/>
      <c r="G5" s="1" t="s">
        <v>10</v>
      </c>
      <c r="H5" s="1" t="s">
        <v>14</v>
      </c>
      <c r="I5" s="1"/>
      <c r="J5" s="1">
        <v>12222</v>
      </c>
      <c r="K5" s="1" t="s">
        <v>35</v>
      </c>
    </row>
    <row r="6" spans="1:11" hidden="1" x14ac:dyDescent="0.25">
      <c r="A6" s="1" t="s">
        <v>7</v>
      </c>
      <c r="B6" s="2">
        <v>30934</v>
      </c>
      <c r="C6" s="1" t="s">
        <v>4</v>
      </c>
      <c r="D6" s="2">
        <v>29572</v>
      </c>
      <c r="E6" s="1">
        <v>345037</v>
      </c>
      <c r="F6" s="1">
        <v>2</v>
      </c>
      <c r="G6" s="1" t="s">
        <v>9</v>
      </c>
      <c r="H6" s="1" t="s">
        <v>13</v>
      </c>
      <c r="I6" s="1"/>
      <c r="J6" s="1">
        <v>5000</v>
      </c>
      <c r="K6" s="1" t="s">
        <v>34</v>
      </c>
    </row>
    <row r="7" spans="1:11" hidden="1" x14ac:dyDescent="0.25">
      <c r="A7" s="1" t="s">
        <v>8</v>
      </c>
      <c r="B7" s="2">
        <v>27544</v>
      </c>
      <c r="C7" s="1" t="s">
        <v>3</v>
      </c>
      <c r="D7" s="2">
        <v>29790</v>
      </c>
      <c r="E7" s="1">
        <v>1245037</v>
      </c>
      <c r="F7" s="1">
        <v>1</v>
      </c>
      <c r="G7" s="1" t="s">
        <v>9</v>
      </c>
      <c r="H7" s="1" t="s">
        <v>12</v>
      </c>
      <c r="I7" s="1"/>
      <c r="J7" s="1">
        <v>12341</v>
      </c>
      <c r="K7" s="1" t="s">
        <v>34</v>
      </c>
    </row>
    <row r="8" spans="1:11" hidden="1" x14ac:dyDescent="0.25">
      <c r="A8" s="1" t="s">
        <v>29</v>
      </c>
      <c r="B8" s="2">
        <v>28435</v>
      </c>
      <c r="C8" s="1" t="s">
        <v>7</v>
      </c>
      <c r="D8" s="2">
        <v>30934</v>
      </c>
      <c r="E8" s="1">
        <v>1245557</v>
      </c>
      <c r="F8" s="1">
        <v>2</v>
      </c>
      <c r="G8" s="1" t="s">
        <v>11</v>
      </c>
      <c r="H8" s="1" t="s">
        <v>15</v>
      </c>
      <c r="I8" s="1"/>
      <c r="J8" s="1">
        <v>23322</v>
      </c>
      <c r="K8" s="1" t="s">
        <v>35</v>
      </c>
    </row>
    <row r="9" spans="1:11" x14ac:dyDescent="0.25">
      <c r="A9" s="1" t="s">
        <v>30</v>
      </c>
      <c r="B9" s="2">
        <v>28567</v>
      </c>
      <c r="C9" s="1" t="s">
        <v>6</v>
      </c>
      <c r="D9" s="2">
        <v>26783</v>
      </c>
      <c r="E9" s="1">
        <v>545037</v>
      </c>
      <c r="F9" s="1">
        <v>1</v>
      </c>
      <c r="G9" s="1" t="s">
        <v>11</v>
      </c>
      <c r="H9" s="1" t="s">
        <v>15</v>
      </c>
      <c r="I9" s="1"/>
      <c r="J9" s="1">
        <v>7111</v>
      </c>
      <c r="K9" s="1" t="s">
        <v>35</v>
      </c>
    </row>
    <row r="10" spans="1:11" hidden="1" x14ac:dyDescent="0.25"/>
  </sheetData>
  <autoFilter ref="A1:K10">
    <filterColumn colId="1">
      <customFilters>
        <customFilter operator="lessThan" val="28856"/>
      </customFilters>
    </filterColumn>
    <filterColumn colId="9">
      <customFilters>
        <customFilter operator="lessThan" val="15000"/>
      </customFilters>
    </filterColumn>
    <filterColumn colId="10">
      <filters>
        <filter val="м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K17" sqref="K17"/>
    </sheetView>
  </sheetViews>
  <sheetFormatPr defaultRowHeight="15" x14ac:dyDescent="0.25"/>
  <cols>
    <col min="2" max="2" width="11.140625" customWidth="1"/>
    <col min="6" max="6" width="11.28515625" customWidth="1"/>
    <col min="10" max="10" width="11.5703125" customWidth="1"/>
  </cols>
  <sheetData>
    <row r="1" spans="1:10" ht="60.75" thickBot="1" x14ac:dyDescent="0.3">
      <c r="A1" s="6" t="s">
        <v>0</v>
      </c>
      <c r="B1" s="7" t="s">
        <v>16</v>
      </c>
      <c r="C1" s="7" t="s">
        <v>19</v>
      </c>
      <c r="D1" s="7" t="s">
        <v>20</v>
      </c>
      <c r="E1" s="6" t="s">
        <v>1</v>
      </c>
      <c r="F1" s="6" t="s">
        <v>2</v>
      </c>
      <c r="G1" s="7" t="s">
        <v>17</v>
      </c>
      <c r="H1" s="7" t="s">
        <v>18</v>
      </c>
      <c r="I1" s="10" t="s">
        <v>33</v>
      </c>
      <c r="J1" s="13" t="s">
        <v>37</v>
      </c>
    </row>
    <row r="2" spans="1:10" x14ac:dyDescent="0.25">
      <c r="A2" s="1" t="s">
        <v>3</v>
      </c>
      <c r="B2" s="2">
        <v>29790</v>
      </c>
      <c r="C2" s="1">
        <v>1245037</v>
      </c>
      <c r="D2" s="1">
        <v>1</v>
      </c>
      <c r="E2" s="1" t="s">
        <v>9</v>
      </c>
      <c r="F2" s="1" t="s">
        <v>12</v>
      </c>
      <c r="G2" s="1"/>
      <c r="H2" s="1">
        <v>12000</v>
      </c>
      <c r="I2" s="1" t="s">
        <v>34</v>
      </c>
      <c r="J2" s="1" t="s">
        <v>36</v>
      </c>
    </row>
    <row r="3" spans="1:10" x14ac:dyDescent="0.25">
      <c r="A3" s="1" t="s">
        <v>4</v>
      </c>
      <c r="B3" s="2">
        <v>29572</v>
      </c>
      <c r="C3" s="1">
        <v>345037</v>
      </c>
      <c r="D3" s="1">
        <v>2</v>
      </c>
      <c r="E3" s="1" t="s">
        <v>9</v>
      </c>
      <c r="F3" s="1" t="s">
        <v>13</v>
      </c>
      <c r="G3" s="1"/>
      <c r="H3" s="1">
        <v>17000</v>
      </c>
      <c r="I3" s="1" t="s">
        <v>34</v>
      </c>
      <c r="J3" s="1"/>
    </row>
    <row r="4" spans="1:10" x14ac:dyDescent="0.25">
      <c r="A4" s="1" t="s">
        <v>5</v>
      </c>
      <c r="B4" s="2">
        <v>28564</v>
      </c>
      <c r="C4" s="1">
        <v>3645031</v>
      </c>
      <c r="D4" s="1">
        <v>3</v>
      </c>
      <c r="E4" s="1" t="s">
        <v>10</v>
      </c>
      <c r="F4" s="1" t="s">
        <v>14</v>
      </c>
      <c r="G4" s="1"/>
      <c r="H4" s="1">
        <v>22000</v>
      </c>
      <c r="I4" s="1" t="s">
        <v>35</v>
      </c>
      <c r="J4" s="1"/>
    </row>
    <row r="5" spans="1:10" x14ac:dyDescent="0.25">
      <c r="A5" s="1" t="s">
        <v>6</v>
      </c>
      <c r="B5" s="2">
        <v>26783</v>
      </c>
      <c r="C5" s="1">
        <v>545037</v>
      </c>
      <c r="D5" s="1">
        <v>1</v>
      </c>
      <c r="E5" s="1" t="s">
        <v>11</v>
      </c>
      <c r="F5" s="1" t="s">
        <v>15</v>
      </c>
      <c r="G5" s="1"/>
      <c r="H5" s="1">
        <v>47000</v>
      </c>
      <c r="I5" s="1" t="s">
        <v>35</v>
      </c>
      <c r="J5" s="1" t="s">
        <v>36</v>
      </c>
    </row>
    <row r="6" spans="1:10" x14ac:dyDescent="0.25">
      <c r="A6" s="1" t="s">
        <v>7</v>
      </c>
      <c r="B6" s="2">
        <v>30934</v>
      </c>
      <c r="C6" s="1">
        <v>1245557</v>
      </c>
      <c r="D6" s="1">
        <v>2</v>
      </c>
      <c r="E6" s="1" t="s">
        <v>11</v>
      </c>
      <c r="F6" s="1" t="s">
        <v>15</v>
      </c>
      <c r="G6" s="1"/>
      <c r="H6" s="1">
        <v>32000</v>
      </c>
      <c r="I6" s="1" t="s">
        <v>35</v>
      </c>
      <c r="J6" s="1"/>
    </row>
    <row r="7" spans="1:10" x14ac:dyDescent="0.25">
      <c r="A7" s="1" t="s">
        <v>8</v>
      </c>
      <c r="B7" s="2">
        <v>27544</v>
      </c>
      <c r="C7" s="1">
        <v>121313</v>
      </c>
      <c r="D7" s="1">
        <v>1</v>
      </c>
      <c r="E7" s="1" t="s">
        <v>11</v>
      </c>
      <c r="F7" s="1" t="s">
        <v>15</v>
      </c>
      <c r="G7" s="1"/>
      <c r="H7" s="1">
        <v>37000</v>
      </c>
      <c r="I7" s="1" t="s">
        <v>35</v>
      </c>
      <c r="J7" s="1"/>
    </row>
    <row r="8" spans="1:10" x14ac:dyDescent="0.25">
      <c r="A8" s="1" t="s">
        <v>29</v>
      </c>
      <c r="B8" s="2">
        <v>28435</v>
      </c>
      <c r="C8" s="1">
        <v>121212</v>
      </c>
      <c r="D8" s="1">
        <v>0</v>
      </c>
      <c r="E8" s="1" t="s">
        <v>10</v>
      </c>
      <c r="F8" s="1" t="s">
        <v>14</v>
      </c>
      <c r="G8" s="1"/>
      <c r="H8" s="1">
        <v>42000</v>
      </c>
      <c r="I8" s="1" t="s">
        <v>35</v>
      </c>
      <c r="J8" s="1"/>
    </row>
    <row r="9" spans="1:10" x14ac:dyDescent="0.25">
      <c r="A9" s="1" t="s">
        <v>30</v>
      </c>
      <c r="B9" s="2">
        <v>28567</v>
      </c>
      <c r="C9" s="1">
        <v>363421</v>
      </c>
      <c r="D9" s="1">
        <v>2</v>
      </c>
      <c r="E9" s="1" t="s">
        <v>31</v>
      </c>
      <c r="F9" s="1" t="s">
        <v>32</v>
      </c>
      <c r="G9" s="1"/>
      <c r="H9" s="11">
        <v>3555</v>
      </c>
      <c r="I9" s="1" t="s">
        <v>35</v>
      </c>
      <c r="J9" s="1"/>
    </row>
    <row r="13" spans="1:10" ht="60.75" thickBot="1" x14ac:dyDescent="0.3">
      <c r="A13" s="6" t="s">
        <v>0</v>
      </c>
      <c r="B13" s="7" t="s">
        <v>16</v>
      </c>
      <c r="C13" s="7" t="s">
        <v>19</v>
      </c>
      <c r="D13" s="7" t="s">
        <v>20</v>
      </c>
      <c r="E13" s="6" t="s">
        <v>1</v>
      </c>
      <c r="F13" s="6" t="s">
        <v>2</v>
      </c>
      <c r="G13" s="7" t="s">
        <v>17</v>
      </c>
      <c r="H13" s="7" t="s">
        <v>18</v>
      </c>
      <c r="I13" s="10" t="s">
        <v>33</v>
      </c>
      <c r="J13" s="13" t="s">
        <v>37</v>
      </c>
    </row>
    <row r="14" spans="1:10" x14ac:dyDescent="0.25">
      <c r="A14" t="s">
        <v>3</v>
      </c>
      <c r="B14" s="12" t="s">
        <v>38</v>
      </c>
    </row>
    <row r="15" spans="1:10" x14ac:dyDescent="0.25">
      <c r="A15" t="s">
        <v>5</v>
      </c>
      <c r="B15" s="12" t="s">
        <v>38</v>
      </c>
    </row>
    <row r="16" spans="1:10" x14ac:dyDescent="0.25">
      <c r="A16" t="s">
        <v>39</v>
      </c>
    </row>
    <row r="17" spans="1:10" x14ac:dyDescent="0.25">
      <c r="A17" t="s">
        <v>40</v>
      </c>
    </row>
    <row r="25" spans="1:10" ht="60.75" thickBot="1" x14ac:dyDescent="0.3">
      <c r="A25" s="6" t="s">
        <v>0</v>
      </c>
      <c r="B25" s="7" t="s">
        <v>16</v>
      </c>
      <c r="C25" s="7" t="s">
        <v>19</v>
      </c>
      <c r="D25" s="7" t="s">
        <v>20</v>
      </c>
      <c r="E25" s="6" t="s">
        <v>1</v>
      </c>
      <c r="F25" s="6" t="s">
        <v>2</v>
      </c>
      <c r="G25" s="7" t="s">
        <v>17</v>
      </c>
      <c r="H25" s="7" t="s">
        <v>18</v>
      </c>
      <c r="I25" s="10" t="s">
        <v>33</v>
      </c>
      <c r="J25" s="13" t="s">
        <v>37</v>
      </c>
    </row>
    <row r="26" spans="1:10" x14ac:dyDescent="0.25">
      <c r="A26" s="1" t="s">
        <v>3</v>
      </c>
      <c r="B26" s="2">
        <v>29790</v>
      </c>
      <c r="C26" s="1">
        <v>1245037</v>
      </c>
      <c r="D26" s="1">
        <v>1</v>
      </c>
      <c r="E26" s="1" t="s">
        <v>9</v>
      </c>
      <c r="F26" s="1" t="s">
        <v>12</v>
      </c>
      <c r="G26" s="1"/>
      <c r="H26" s="1">
        <v>12000</v>
      </c>
      <c r="I26" s="1" t="s">
        <v>34</v>
      </c>
      <c r="J26" s="1" t="s">
        <v>36</v>
      </c>
    </row>
    <row r="27" spans="1:10" x14ac:dyDescent="0.25">
      <c r="A27" s="1" t="s">
        <v>8</v>
      </c>
      <c r="B27" s="2">
        <v>27544</v>
      </c>
      <c r="C27" s="1">
        <v>121313</v>
      </c>
      <c r="D27" s="1">
        <v>1</v>
      </c>
      <c r="E27" s="1" t="s">
        <v>11</v>
      </c>
      <c r="F27" s="1" t="s">
        <v>15</v>
      </c>
      <c r="G27" s="1"/>
      <c r="H27" s="1">
        <v>37000</v>
      </c>
      <c r="I27" s="1" t="s">
        <v>35</v>
      </c>
      <c r="J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</sheetPr>
  <dimension ref="A1:J15"/>
  <sheetViews>
    <sheetView workbookViewId="0">
      <selection activeCell="J16" sqref="A1:J16"/>
    </sheetView>
  </sheetViews>
  <sheetFormatPr defaultRowHeight="15" outlineLevelRow="1" outlineLevelCol="1" x14ac:dyDescent="0.25"/>
  <cols>
    <col min="2" max="4" width="9.140625" customWidth="1" outlineLevel="1"/>
    <col min="6" max="8" width="9.140625" customWidth="1" outlineLevel="1"/>
  </cols>
  <sheetData>
    <row r="1" spans="1:10" ht="45" x14ac:dyDescent="0.25">
      <c r="A1" s="17"/>
      <c r="B1" s="18" t="s">
        <v>41</v>
      </c>
      <c r="C1" s="18" t="s">
        <v>42</v>
      </c>
      <c r="D1" s="18" t="s">
        <v>43</v>
      </c>
      <c r="E1" s="18" t="s">
        <v>59</v>
      </c>
      <c r="F1" s="18" t="s">
        <v>44</v>
      </c>
      <c r="G1" s="18" t="s">
        <v>45</v>
      </c>
      <c r="H1" s="18" t="s">
        <v>46</v>
      </c>
      <c r="I1" s="18" t="s">
        <v>60</v>
      </c>
      <c r="J1" s="19" t="s">
        <v>58</v>
      </c>
    </row>
    <row r="2" spans="1:10" outlineLevel="1" x14ac:dyDescent="0.25">
      <c r="A2" s="14" t="s">
        <v>47</v>
      </c>
      <c r="B2" s="1"/>
      <c r="C2" s="1"/>
      <c r="D2" s="1"/>
      <c r="E2" s="1"/>
      <c r="F2" s="1"/>
      <c r="G2" s="1"/>
      <c r="H2" s="1"/>
      <c r="I2" s="1"/>
      <c r="J2" s="1"/>
    </row>
    <row r="3" spans="1:10" outlineLevel="1" x14ac:dyDescent="0.25">
      <c r="A3" s="1" t="s">
        <v>48</v>
      </c>
      <c r="B3" s="16">
        <v>706</v>
      </c>
      <c r="C3" s="16">
        <v>274</v>
      </c>
      <c r="D3" s="16">
        <v>674</v>
      </c>
      <c r="E3" s="1">
        <f>SUM(B3:D3)</f>
        <v>1654</v>
      </c>
      <c r="F3" s="16">
        <v>734</v>
      </c>
      <c r="G3" s="16">
        <v>315</v>
      </c>
      <c r="H3" s="16">
        <v>37</v>
      </c>
      <c r="I3" s="1">
        <f>SUM(F3:H3)</f>
        <v>1086</v>
      </c>
      <c r="J3" s="1">
        <f>SUM(E3+I3)</f>
        <v>2740</v>
      </c>
    </row>
    <row r="4" spans="1:10" outlineLevel="1" x14ac:dyDescent="0.25">
      <c r="A4" s="1" t="s">
        <v>49</v>
      </c>
      <c r="B4" s="16">
        <v>964</v>
      </c>
      <c r="C4" s="16">
        <v>909</v>
      </c>
      <c r="D4" s="16">
        <v>19</v>
      </c>
      <c r="E4" s="1">
        <f t="shared" ref="E4:E7" si="0">SUM(B4:D4)</f>
        <v>1892</v>
      </c>
      <c r="F4" s="16">
        <v>884</v>
      </c>
      <c r="G4" s="16">
        <v>906</v>
      </c>
      <c r="H4" s="16">
        <v>920</v>
      </c>
      <c r="I4" s="1">
        <f t="shared" ref="I4:I7" si="1">SUM(F4:H4)</f>
        <v>2710</v>
      </c>
      <c r="J4" s="1">
        <f t="shared" ref="J4:J15" si="2">SUM(E4+I4)</f>
        <v>4602</v>
      </c>
    </row>
    <row r="5" spans="1:10" outlineLevel="1" x14ac:dyDescent="0.25">
      <c r="A5" s="1" t="s">
        <v>50</v>
      </c>
      <c r="B5" s="16">
        <v>734</v>
      </c>
      <c r="C5" s="16">
        <v>315</v>
      </c>
      <c r="D5" s="16">
        <v>37</v>
      </c>
      <c r="E5" s="1">
        <f t="shared" si="0"/>
        <v>1086</v>
      </c>
      <c r="F5" s="16">
        <v>917</v>
      </c>
      <c r="G5" s="16">
        <v>894</v>
      </c>
      <c r="H5" s="16">
        <v>766</v>
      </c>
      <c r="I5" s="1">
        <f t="shared" si="1"/>
        <v>2577</v>
      </c>
      <c r="J5" s="1">
        <f t="shared" si="2"/>
        <v>3663</v>
      </c>
    </row>
    <row r="6" spans="1:10" outlineLevel="1" x14ac:dyDescent="0.25">
      <c r="A6" s="1" t="s">
        <v>51</v>
      </c>
      <c r="B6" s="16">
        <v>884</v>
      </c>
      <c r="C6" s="16">
        <v>906</v>
      </c>
      <c r="D6" s="16">
        <v>920</v>
      </c>
      <c r="E6" s="1">
        <f t="shared" si="0"/>
        <v>2710</v>
      </c>
      <c r="F6" s="16">
        <v>906</v>
      </c>
      <c r="G6" s="16">
        <v>706</v>
      </c>
      <c r="H6" s="16">
        <v>274</v>
      </c>
      <c r="I6" s="1">
        <f t="shared" si="1"/>
        <v>1886</v>
      </c>
      <c r="J6" s="1">
        <f t="shared" si="2"/>
        <v>4596</v>
      </c>
    </row>
    <row r="7" spans="1:10" outlineLevel="1" x14ac:dyDescent="0.25">
      <c r="A7" s="1" t="s">
        <v>52</v>
      </c>
      <c r="B7" s="16">
        <v>917</v>
      </c>
      <c r="C7" s="16">
        <v>894</v>
      </c>
      <c r="D7" s="16">
        <v>766</v>
      </c>
      <c r="E7" s="1">
        <f t="shared" si="0"/>
        <v>2577</v>
      </c>
      <c r="F7" s="16">
        <v>894</v>
      </c>
      <c r="G7" s="16">
        <v>964</v>
      </c>
      <c r="H7" s="16">
        <v>909</v>
      </c>
      <c r="I7" s="1">
        <f t="shared" si="1"/>
        <v>2767</v>
      </c>
      <c r="J7" s="1">
        <f t="shared" si="2"/>
        <v>5344</v>
      </c>
    </row>
    <row r="8" spans="1:10" ht="30" x14ac:dyDescent="0.25">
      <c r="A8" s="15" t="s">
        <v>53</v>
      </c>
      <c r="B8" s="1">
        <f>SUM(B3:B7)</f>
        <v>4205</v>
      </c>
      <c r="C8" s="1">
        <f t="shared" ref="C8:D8" si="3">SUM(C3:C7)</f>
        <v>3298</v>
      </c>
      <c r="D8" s="1">
        <f t="shared" si="3"/>
        <v>2416</v>
      </c>
      <c r="E8" s="1">
        <f>SUM(B8:D8)</f>
        <v>9919</v>
      </c>
      <c r="F8" s="1">
        <f>SUM(F3:F7)</f>
        <v>4335</v>
      </c>
      <c r="G8" s="1">
        <f t="shared" ref="G8:H8" si="4">SUM(G3:G7)</f>
        <v>3785</v>
      </c>
      <c r="H8" s="1">
        <f t="shared" si="4"/>
        <v>2906</v>
      </c>
      <c r="I8" s="1">
        <f>SUM(F8:H8)</f>
        <v>11026</v>
      </c>
      <c r="J8" s="1">
        <f t="shared" si="2"/>
        <v>20945</v>
      </c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outlineLevel="1" x14ac:dyDescent="0.25">
      <c r="A10" s="14" t="s">
        <v>54</v>
      </c>
      <c r="B10" s="1"/>
      <c r="C10" s="1"/>
      <c r="D10" s="1"/>
      <c r="E10" s="1"/>
      <c r="F10" s="1"/>
      <c r="G10" s="1"/>
      <c r="H10" s="1"/>
      <c r="I10" s="1"/>
      <c r="J10" s="1">
        <f>SUM(E10+I10)</f>
        <v>0</v>
      </c>
    </row>
    <row r="11" spans="1:10" outlineLevel="1" x14ac:dyDescent="0.25">
      <c r="A11" s="1" t="s">
        <v>49</v>
      </c>
      <c r="B11" s="16">
        <v>119</v>
      </c>
      <c r="C11" s="16">
        <v>202</v>
      </c>
      <c r="D11" s="16">
        <v>128</v>
      </c>
      <c r="E11" s="1">
        <f>SUM(B11:D11)</f>
        <v>449</v>
      </c>
      <c r="F11" s="16">
        <v>734</v>
      </c>
      <c r="G11" s="16">
        <v>315</v>
      </c>
      <c r="H11" s="16">
        <v>37</v>
      </c>
      <c r="I11" s="1">
        <f>SUM(F11:H11)</f>
        <v>1086</v>
      </c>
      <c r="J11" s="1">
        <f t="shared" si="2"/>
        <v>1535</v>
      </c>
    </row>
    <row r="12" spans="1:10" outlineLevel="1" x14ac:dyDescent="0.25">
      <c r="A12" s="1" t="s">
        <v>51</v>
      </c>
      <c r="B12" s="16">
        <v>361</v>
      </c>
      <c r="C12" s="16">
        <v>84</v>
      </c>
      <c r="D12" s="16">
        <v>569</v>
      </c>
      <c r="E12" s="1">
        <f t="shared" ref="E12:E13" si="5">SUM(B12:D12)</f>
        <v>1014</v>
      </c>
      <c r="F12" s="16">
        <v>884</v>
      </c>
      <c r="G12" s="16">
        <v>906</v>
      </c>
      <c r="H12" s="16">
        <v>920</v>
      </c>
      <c r="I12" s="1">
        <f t="shared" ref="I12:I13" si="6">SUM(F12:H12)</f>
        <v>2710</v>
      </c>
      <c r="J12" s="1">
        <f t="shared" si="2"/>
        <v>3724</v>
      </c>
    </row>
    <row r="13" spans="1:10" outlineLevel="1" x14ac:dyDescent="0.25">
      <c r="A13" s="1" t="s">
        <v>55</v>
      </c>
      <c r="B13" s="16">
        <v>927</v>
      </c>
      <c r="C13" s="16">
        <v>866</v>
      </c>
      <c r="D13" s="16">
        <v>769</v>
      </c>
      <c r="E13" s="1">
        <f t="shared" si="5"/>
        <v>2562</v>
      </c>
      <c r="F13" s="16">
        <v>917</v>
      </c>
      <c r="G13" s="16">
        <v>894</v>
      </c>
      <c r="H13" s="16">
        <v>766</v>
      </c>
      <c r="I13" s="1">
        <f t="shared" si="6"/>
        <v>2577</v>
      </c>
      <c r="J13" s="1">
        <f t="shared" si="2"/>
        <v>5139</v>
      </c>
    </row>
    <row r="14" spans="1:10" ht="30" x14ac:dyDescent="0.25">
      <c r="A14" s="15" t="s">
        <v>56</v>
      </c>
      <c r="B14" s="1">
        <f>SUM(B11:B13)</f>
        <v>1407</v>
      </c>
      <c r="C14" s="1">
        <f t="shared" ref="C14:D14" si="7">SUM(C11:C13)</f>
        <v>1152</v>
      </c>
      <c r="D14" s="1">
        <f t="shared" si="7"/>
        <v>1466</v>
      </c>
      <c r="E14" s="1">
        <f>SUM(B14:D14)</f>
        <v>4025</v>
      </c>
      <c r="F14" s="1">
        <f>SUM(F11:F13)</f>
        <v>2535</v>
      </c>
      <c r="G14" s="1">
        <f t="shared" ref="G14:H14" si="8">SUM(G11:G13)</f>
        <v>2115</v>
      </c>
      <c r="H14" s="1">
        <f t="shared" si="8"/>
        <v>1723</v>
      </c>
      <c r="I14" s="1">
        <f>SUM(F14:H14)</f>
        <v>6373</v>
      </c>
      <c r="J14" s="1">
        <f t="shared" si="2"/>
        <v>10398</v>
      </c>
    </row>
    <row r="15" spans="1:10" x14ac:dyDescent="0.25">
      <c r="A15" s="14" t="s">
        <v>57</v>
      </c>
      <c r="B15" s="1">
        <f>SUM(B8,B14)</f>
        <v>5612</v>
      </c>
      <c r="C15" s="1">
        <f t="shared" ref="C15:I15" si="9">SUM(C8,C14)</f>
        <v>4450</v>
      </c>
      <c r="D15" s="1">
        <f t="shared" si="9"/>
        <v>3882</v>
      </c>
      <c r="E15" s="1">
        <f t="shared" si="9"/>
        <v>13944</v>
      </c>
      <c r="F15" s="1">
        <f t="shared" si="9"/>
        <v>6870</v>
      </c>
      <c r="G15" s="1">
        <f t="shared" si="9"/>
        <v>5900</v>
      </c>
      <c r="H15" s="1">
        <f t="shared" si="9"/>
        <v>4629</v>
      </c>
      <c r="I15" s="1">
        <f t="shared" si="9"/>
        <v>17399</v>
      </c>
      <c r="J15" s="1">
        <f t="shared" si="2"/>
        <v>31343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E6" sqref="E6"/>
    </sheetView>
  </sheetViews>
  <sheetFormatPr defaultRowHeight="15" outlineLevelRow="4" x14ac:dyDescent="0.25"/>
  <cols>
    <col min="2" max="2" width="10.140625" customWidth="1"/>
    <col min="4" max="4" width="18.7109375" customWidth="1"/>
    <col min="5" max="5" width="22.28515625" customWidth="1"/>
    <col min="6" max="6" width="11.28515625" customWidth="1"/>
    <col min="7" max="7" width="16" customWidth="1"/>
  </cols>
  <sheetData>
    <row r="1" spans="1:9" ht="60.75" thickBot="1" x14ac:dyDescent="0.3">
      <c r="A1" s="6" t="s">
        <v>0</v>
      </c>
      <c r="B1" s="7" t="s">
        <v>16</v>
      </c>
      <c r="C1" s="7" t="s">
        <v>19</v>
      </c>
      <c r="D1" s="7" t="s">
        <v>20</v>
      </c>
      <c r="E1" s="6" t="s">
        <v>1</v>
      </c>
      <c r="F1" s="6" t="s">
        <v>2</v>
      </c>
      <c r="G1" s="7" t="s">
        <v>17</v>
      </c>
      <c r="H1" s="7" t="s">
        <v>18</v>
      </c>
      <c r="I1" s="10" t="s">
        <v>33</v>
      </c>
    </row>
    <row r="2" spans="1:9" outlineLevel="4" x14ac:dyDescent="0.25">
      <c r="A2" s="3" t="s">
        <v>3</v>
      </c>
      <c r="B2" s="8">
        <v>29790</v>
      </c>
      <c r="C2" s="3">
        <v>1245037</v>
      </c>
      <c r="D2" s="3">
        <v>1</v>
      </c>
      <c r="E2" s="3" t="s">
        <v>9</v>
      </c>
      <c r="F2" s="3" t="s">
        <v>12</v>
      </c>
      <c r="G2" s="3"/>
      <c r="H2" s="3">
        <v>12000</v>
      </c>
      <c r="I2" s="3" t="s">
        <v>34</v>
      </c>
    </row>
    <row r="3" spans="1:9" outlineLevel="3" x14ac:dyDescent="0.25">
      <c r="A3" s="3"/>
      <c r="B3" s="8"/>
      <c r="C3" s="3"/>
      <c r="D3" s="20" t="s">
        <v>71</v>
      </c>
      <c r="E3" s="3">
        <f>SUBTOTAL(9,E2:E2)</f>
        <v>0</v>
      </c>
      <c r="F3" s="3"/>
      <c r="G3" s="3"/>
      <c r="H3" s="3">
        <f>SUBTOTAL(9,H2:H2)</f>
        <v>12000</v>
      </c>
      <c r="I3" s="3"/>
    </row>
    <row r="4" spans="1:9" outlineLevel="2" x14ac:dyDescent="0.25">
      <c r="A4" s="3"/>
      <c r="B4" s="8"/>
      <c r="C4" s="3"/>
      <c r="D4" s="20" t="s">
        <v>67</v>
      </c>
      <c r="E4" s="3">
        <f>SUBTOTAL(3,E2:E2)</f>
        <v>1</v>
      </c>
      <c r="F4" s="3"/>
      <c r="G4" s="3"/>
      <c r="H4" s="3"/>
      <c r="I4" s="3"/>
    </row>
    <row r="5" spans="1:9" outlineLevel="1" x14ac:dyDescent="0.25">
      <c r="A5" s="3"/>
      <c r="B5" s="8"/>
      <c r="C5" s="3"/>
      <c r="D5" s="3"/>
      <c r="E5" s="20" t="s">
        <v>62</v>
      </c>
      <c r="F5" s="3">
        <f>SUBTOTAL(3,F2:F2)</f>
        <v>1</v>
      </c>
      <c r="G5" s="3"/>
      <c r="H5" s="3"/>
      <c r="I5" s="3"/>
    </row>
    <row r="6" spans="1:9" outlineLevel="4" x14ac:dyDescent="0.25">
      <c r="A6" s="1" t="s">
        <v>4</v>
      </c>
      <c r="B6" s="2">
        <v>29572</v>
      </c>
      <c r="C6" s="1">
        <v>345037</v>
      </c>
      <c r="D6" s="1">
        <v>2</v>
      </c>
      <c r="E6" s="1" t="s">
        <v>9</v>
      </c>
      <c r="F6" s="1" t="s">
        <v>13</v>
      </c>
      <c r="G6" s="1"/>
      <c r="H6" s="1">
        <v>23333</v>
      </c>
      <c r="I6" s="1" t="s">
        <v>34</v>
      </c>
    </row>
    <row r="7" spans="1:9" outlineLevel="3" x14ac:dyDescent="0.25">
      <c r="A7" s="1"/>
      <c r="B7" s="2"/>
      <c r="C7" s="1"/>
      <c r="D7" s="14" t="s">
        <v>71</v>
      </c>
      <c r="E7" s="1">
        <f>SUBTOTAL(9,E6:E6)</f>
        <v>0</v>
      </c>
      <c r="F7" s="1"/>
      <c r="G7" s="1"/>
      <c r="H7" s="1">
        <f>SUBTOTAL(9,H6:H6)</f>
        <v>23333</v>
      </c>
      <c r="I7" s="1"/>
    </row>
    <row r="8" spans="1:9" outlineLevel="2" x14ac:dyDescent="0.25">
      <c r="A8" s="1"/>
      <c r="B8" s="2"/>
      <c r="C8" s="1"/>
      <c r="D8" s="14" t="s">
        <v>67</v>
      </c>
      <c r="E8" s="1">
        <f>SUBTOTAL(3,E6:E6)</f>
        <v>1</v>
      </c>
      <c r="F8" s="1"/>
      <c r="G8" s="1"/>
      <c r="H8" s="1"/>
      <c r="I8" s="1"/>
    </row>
    <row r="9" spans="1:9" outlineLevel="1" x14ac:dyDescent="0.25">
      <c r="A9" s="1"/>
      <c r="B9" s="2"/>
      <c r="C9" s="1"/>
      <c r="D9" s="1"/>
      <c r="E9" s="14" t="s">
        <v>63</v>
      </c>
      <c r="F9" s="1">
        <f>SUBTOTAL(3,F6:F6)</f>
        <v>1</v>
      </c>
      <c r="G9" s="1"/>
      <c r="H9" s="1"/>
      <c r="I9" s="1"/>
    </row>
    <row r="10" spans="1:9" outlineLevel="4" x14ac:dyDescent="0.25">
      <c r="A10" s="1" t="s">
        <v>5</v>
      </c>
      <c r="B10" s="2">
        <v>28564</v>
      </c>
      <c r="C10" s="1">
        <v>1245031</v>
      </c>
      <c r="D10" s="1">
        <v>3</v>
      </c>
      <c r="E10" s="1" t="s">
        <v>10</v>
      </c>
      <c r="F10" s="1" t="s">
        <v>14</v>
      </c>
      <c r="G10" s="1"/>
      <c r="H10" s="1">
        <v>9999</v>
      </c>
      <c r="I10" s="1" t="s">
        <v>35</v>
      </c>
    </row>
    <row r="11" spans="1:9" outlineLevel="3" x14ac:dyDescent="0.25">
      <c r="A11" s="1"/>
      <c r="B11" s="2"/>
      <c r="C11" s="1"/>
      <c r="D11" s="14" t="s">
        <v>72</v>
      </c>
      <c r="E11" s="1">
        <f>SUBTOTAL(9,E10:E10)</f>
        <v>0</v>
      </c>
      <c r="F11" s="1"/>
      <c r="G11" s="1"/>
      <c r="H11" s="1">
        <f>SUBTOTAL(9,H10:H10)</f>
        <v>9999</v>
      </c>
      <c r="I11" s="1"/>
    </row>
    <row r="12" spans="1:9" outlineLevel="2" x14ac:dyDescent="0.25">
      <c r="A12" s="1"/>
      <c r="B12" s="2"/>
      <c r="C12" s="1"/>
      <c r="D12" s="14" t="s">
        <v>68</v>
      </c>
      <c r="E12" s="1">
        <f>SUBTOTAL(3,E10:E10)</f>
        <v>1</v>
      </c>
      <c r="F12" s="1"/>
      <c r="G12" s="1"/>
      <c r="H12" s="1"/>
      <c r="I12" s="1"/>
    </row>
    <row r="13" spans="1:9" outlineLevel="1" x14ac:dyDescent="0.25">
      <c r="A13" s="1"/>
      <c r="B13" s="2"/>
      <c r="C13" s="1"/>
      <c r="D13" s="1"/>
      <c r="E13" s="14" t="s">
        <v>64</v>
      </c>
      <c r="F13" s="1">
        <f>SUBTOTAL(3,F10:F10)</f>
        <v>1</v>
      </c>
      <c r="G13" s="1"/>
      <c r="H13" s="1"/>
      <c r="I13" s="1"/>
    </row>
    <row r="14" spans="1:9" outlineLevel="4" x14ac:dyDescent="0.25">
      <c r="A14" s="1" t="s">
        <v>6</v>
      </c>
      <c r="B14" s="2">
        <v>26783</v>
      </c>
      <c r="C14" s="1">
        <v>545037</v>
      </c>
      <c r="D14" s="1">
        <v>1</v>
      </c>
      <c r="E14" s="1" t="s">
        <v>11</v>
      </c>
      <c r="F14" s="1" t="s">
        <v>15</v>
      </c>
      <c r="G14" s="1"/>
      <c r="H14" s="1">
        <v>19999</v>
      </c>
      <c r="I14" s="1" t="s">
        <v>35</v>
      </c>
    </row>
    <row r="15" spans="1:9" outlineLevel="4" x14ac:dyDescent="0.25">
      <c r="A15" s="1" t="s">
        <v>7</v>
      </c>
      <c r="B15" s="2">
        <v>30934</v>
      </c>
      <c r="C15" s="1">
        <v>1245557</v>
      </c>
      <c r="D15" s="1">
        <v>2</v>
      </c>
      <c r="E15" s="1" t="s">
        <v>11</v>
      </c>
      <c r="F15" s="1" t="s">
        <v>15</v>
      </c>
      <c r="G15" s="1"/>
      <c r="H15" s="1">
        <v>5000</v>
      </c>
      <c r="I15" s="1" t="s">
        <v>35</v>
      </c>
    </row>
    <row r="16" spans="1:9" outlineLevel="4" x14ac:dyDescent="0.25">
      <c r="A16" s="1" t="s">
        <v>8</v>
      </c>
      <c r="B16" s="2">
        <v>27544</v>
      </c>
      <c r="C16" s="1">
        <v>121313</v>
      </c>
      <c r="D16" s="1">
        <v>1</v>
      </c>
      <c r="E16" s="1" t="s">
        <v>11</v>
      </c>
      <c r="F16" s="1" t="s">
        <v>15</v>
      </c>
      <c r="G16" s="1"/>
      <c r="H16" s="1">
        <v>12000</v>
      </c>
      <c r="I16" s="1" t="s">
        <v>35</v>
      </c>
    </row>
    <row r="17" spans="1:9" outlineLevel="3" x14ac:dyDescent="0.25">
      <c r="A17" s="1"/>
      <c r="B17" s="2"/>
      <c r="C17" s="1"/>
      <c r="D17" s="14" t="s">
        <v>73</v>
      </c>
      <c r="E17" s="1">
        <f>SUBTOTAL(9,E14:E16)</f>
        <v>0</v>
      </c>
      <c r="F17" s="1"/>
      <c r="G17" s="1"/>
      <c r="H17" s="1">
        <f>SUBTOTAL(9,H14:H16)</f>
        <v>36999</v>
      </c>
      <c r="I17" s="1"/>
    </row>
    <row r="18" spans="1:9" outlineLevel="2" x14ac:dyDescent="0.25">
      <c r="A18" s="1"/>
      <c r="B18" s="2"/>
      <c r="C18" s="1"/>
      <c r="D18" s="14" t="s">
        <v>69</v>
      </c>
      <c r="E18" s="1">
        <f>SUBTOTAL(3,E14:E16)</f>
        <v>3</v>
      </c>
      <c r="F18" s="1"/>
      <c r="G18" s="1"/>
      <c r="H18" s="1"/>
      <c r="I18" s="1"/>
    </row>
    <row r="19" spans="1:9" outlineLevel="1" x14ac:dyDescent="0.25">
      <c r="A19" s="1"/>
      <c r="B19" s="2"/>
      <c r="C19" s="1"/>
      <c r="D19" s="1"/>
      <c r="E19" s="14" t="s">
        <v>65</v>
      </c>
      <c r="F19" s="1">
        <f>SUBTOTAL(3,F14:F16)</f>
        <v>3</v>
      </c>
      <c r="G19" s="1"/>
      <c r="H19" s="1"/>
      <c r="I19" s="1"/>
    </row>
    <row r="20" spans="1:9" outlineLevel="4" x14ac:dyDescent="0.25">
      <c r="A20" s="1" t="s">
        <v>29</v>
      </c>
      <c r="B20" s="2">
        <v>28435</v>
      </c>
      <c r="C20" s="1">
        <v>121212</v>
      </c>
      <c r="D20" s="1">
        <v>0</v>
      </c>
      <c r="E20" s="1" t="s">
        <v>10</v>
      </c>
      <c r="F20" s="1" t="s">
        <v>14</v>
      </c>
      <c r="G20" s="1"/>
      <c r="H20" s="1">
        <v>4000</v>
      </c>
      <c r="I20" s="1" t="s">
        <v>35</v>
      </c>
    </row>
    <row r="21" spans="1:9" outlineLevel="3" x14ac:dyDescent="0.25">
      <c r="A21" s="1"/>
      <c r="B21" s="2"/>
      <c r="C21" s="1"/>
      <c r="D21" s="14" t="s">
        <v>72</v>
      </c>
      <c r="E21" s="1">
        <f>SUBTOTAL(9,E20:E20)</f>
        <v>0</v>
      </c>
      <c r="F21" s="1"/>
      <c r="G21" s="1"/>
      <c r="H21" s="1">
        <f>SUBTOTAL(9,H20:H20)</f>
        <v>4000</v>
      </c>
      <c r="I21" s="1"/>
    </row>
    <row r="22" spans="1:9" outlineLevel="2" x14ac:dyDescent="0.25">
      <c r="A22" s="1"/>
      <c r="B22" s="2"/>
      <c r="C22" s="1"/>
      <c r="D22" s="14" t="s">
        <v>68</v>
      </c>
      <c r="E22" s="1">
        <f>SUBTOTAL(3,E20:E20)</f>
        <v>1</v>
      </c>
      <c r="F22" s="1"/>
      <c r="G22" s="1"/>
      <c r="H22" s="1"/>
      <c r="I22" s="1"/>
    </row>
    <row r="23" spans="1:9" outlineLevel="1" x14ac:dyDescent="0.25">
      <c r="A23" s="1"/>
      <c r="B23" s="2"/>
      <c r="C23" s="1"/>
      <c r="D23" s="1"/>
      <c r="E23" s="14" t="s">
        <v>64</v>
      </c>
      <c r="F23" s="1">
        <f>SUBTOTAL(3,F20:F20)</f>
        <v>1</v>
      </c>
      <c r="G23" s="1"/>
      <c r="H23" s="1"/>
      <c r="I23" s="1"/>
    </row>
    <row r="24" spans="1:9" outlineLevel="4" x14ac:dyDescent="0.25">
      <c r="A24" s="1" t="s">
        <v>30</v>
      </c>
      <c r="B24" s="2">
        <v>28567</v>
      </c>
      <c r="C24" s="1">
        <v>123421</v>
      </c>
      <c r="D24" s="1">
        <v>2</v>
      </c>
      <c r="E24" s="1" t="s">
        <v>31</v>
      </c>
      <c r="F24" s="1" t="s">
        <v>32</v>
      </c>
      <c r="G24" s="1"/>
      <c r="H24" s="1">
        <v>10000</v>
      </c>
      <c r="I24" s="1" t="s">
        <v>35</v>
      </c>
    </row>
    <row r="25" spans="1:9" outlineLevel="3" x14ac:dyDescent="0.25">
      <c r="A25" s="4"/>
      <c r="B25" s="5"/>
      <c r="C25" s="4"/>
      <c r="D25" s="21" t="s">
        <v>74</v>
      </c>
      <c r="E25" s="4">
        <f>SUBTOTAL(9,E24:E24)</f>
        <v>0</v>
      </c>
      <c r="F25" s="4"/>
      <c r="G25" s="4"/>
      <c r="H25" s="4">
        <f>SUBTOTAL(9,H24:H24)</f>
        <v>10000</v>
      </c>
      <c r="I25" s="4"/>
    </row>
    <row r="26" spans="1:9" outlineLevel="2" x14ac:dyDescent="0.25">
      <c r="A26" s="4"/>
      <c r="B26" s="5"/>
      <c r="C26" s="4"/>
      <c r="D26" s="21" t="s">
        <v>70</v>
      </c>
      <c r="E26" s="4">
        <f>SUBTOTAL(3,E24:E24)</f>
        <v>1</v>
      </c>
      <c r="F26" s="4"/>
      <c r="G26" s="4"/>
      <c r="H26" s="4"/>
      <c r="I26" s="4"/>
    </row>
    <row r="27" spans="1:9" outlineLevel="1" x14ac:dyDescent="0.25">
      <c r="A27" s="4"/>
      <c r="B27" s="5"/>
      <c r="C27" s="4"/>
      <c r="D27" s="4"/>
      <c r="E27" s="21" t="s">
        <v>66</v>
      </c>
      <c r="F27" s="4">
        <f>SUBTOTAL(3,F24:F24)</f>
        <v>1</v>
      </c>
      <c r="G27" s="4"/>
      <c r="H27" s="4"/>
      <c r="I27" s="4"/>
    </row>
    <row r="28" spans="1:9" outlineLevel="1" x14ac:dyDescent="0.25">
      <c r="A28" s="4"/>
      <c r="B28" s="5"/>
      <c r="C28" s="4"/>
      <c r="D28" s="21" t="s">
        <v>75</v>
      </c>
      <c r="E28" s="21">
        <f>SUBTOTAL(9,E2:E24)</f>
        <v>0</v>
      </c>
      <c r="F28" s="4"/>
      <c r="G28" s="4"/>
      <c r="H28" s="4">
        <f>SUBTOTAL(9,H2:H24)</f>
        <v>96331</v>
      </c>
      <c r="I28" s="4"/>
    </row>
    <row r="29" spans="1:9" x14ac:dyDescent="0.25">
      <c r="A29" s="4"/>
      <c r="B29" s="5"/>
      <c r="C29" s="4"/>
      <c r="D29" s="21"/>
      <c r="E29" s="21"/>
      <c r="F29" s="4"/>
      <c r="G29" s="4"/>
      <c r="H29" s="4"/>
      <c r="I29" s="4"/>
    </row>
    <row r="30" spans="1:9" x14ac:dyDescent="0.25">
      <c r="A30" s="4"/>
      <c r="B30" s="5"/>
      <c r="C30" s="4"/>
      <c r="D30" s="4"/>
      <c r="E30" s="21" t="s">
        <v>61</v>
      </c>
      <c r="F30" s="4">
        <f>SUBTOTAL(3,F2:F24)</f>
        <v>8</v>
      </c>
      <c r="G30" s="4"/>
      <c r="H30" s="4"/>
      <c r="I30" s="4"/>
    </row>
  </sheetData>
  <pageMargins left="0.7" right="0.7" top="0.75" bottom="0.75" header="0.3" footer="0.3"/>
  <pageSetup paperSize="9" orientation="portrait" verticalDpi="0" r:id="rId1"/>
  <rowBreaks count="17" manualBreakCount="17">
    <brk id="3" max="16383" man="1"/>
    <brk id="4" max="16383" man="1"/>
    <brk id="5" max="16383" man="1"/>
    <brk id="7" max="16383" man="1"/>
    <brk id="8" max="16383" man="1"/>
    <brk id="9" max="16383" man="1"/>
    <brk id="11" max="16383" man="1"/>
    <brk id="12" max="16383" man="1"/>
    <brk id="13" max="16383" man="1"/>
    <brk id="17" max="16383" man="1"/>
    <brk id="18" max="16383" man="1"/>
    <brk id="19" max="16383" man="1"/>
    <brk id="21" max="16383" man="1"/>
    <brk id="22" max="16383" man="1"/>
    <brk id="23" max="16383" man="1"/>
    <brk id="28" max="16383" man="1"/>
    <brk id="3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K8" sqref="K8"/>
    </sheetView>
  </sheetViews>
  <sheetFormatPr defaultRowHeight="15" x14ac:dyDescent="0.25"/>
  <cols>
    <col min="1" max="1" width="11.7109375" customWidth="1"/>
    <col min="2" max="2" width="10.5703125" customWidth="1"/>
    <col min="6" max="6" width="13.42578125" customWidth="1"/>
    <col min="11" max="11" width="14.7109375" customWidth="1"/>
    <col min="12" max="12" width="12.140625" customWidth="1"/>
  </cols>
  <sheetData>
    <row r="1" spans="1:21" ht="60.75" thickBot="1" x14ac:dyDescent="0.3">
      <c r="A1" s="30" t="s">
        <v>0</v>
      </c>
      <c r="B1" s="31" t="s">
        <v>78</v>
      </c>
      <c r="C1" s="31" t="s">
        <v>19</v>
      </c>
      <c r="D1" s="31" t="s">
        <v>20</v>
      </c>
      <c r="E1" s="32" t="s">
        <v>1</v>
      </c>
      <c r="F1" s="32" t="s">
        <v>2</v>
      </c>
      <c r="G1" s="31" t="s">
        <v>17</v>
      </c>
      <c r="H1" s="31" t="s">
        <v>18</v>
      </c>
      <c r="I1" s="33" t="s">
        <v>33</v>
      </c>
    </row>
    <row r="2" spans="1:21" x14ac:dyDescent="0.25">
      <c r="A2" s="25" t="s">
        <v>3</v>
      </c>
      <c r="B2" s="8">
        <v>29790</v>
      </c>
      <c r="C2" s="3">
        <v>1245037</v>
      </c>
      <c r="D2" s="3">
        <v>1</v>
      </c>
      <c r="E2" s="3" t="s">
        <v>9</v>
      </c>
      <c r="F2" s="3" t="s">
        <v>12</v>
      </c>
      <c r="G2" s="3"/>
      <c r="H2" s="3">
        <v>12000</v>
      </c>
      <c r="I2" s="28" t="s">
        <v>34</v>
      </c>
    </row>
    <row r="3" spans="1:21" ht="15.75" thickBot="1" x14ac:dyDescent="0.3">
      <c r="A3" s="26" t="s">
        <v>4</v>
      </c>
      <c r="B3" s="2">
        <v>29572</v>
      </c>
      <c r="C3" s="1">
        <v>345037</v>
      </c>
      <c r="D3" s="1">
        <v>2</v>
      </c>
      <c r="E3" s="1" t="s">
        <v>9</v>
      </c>
      <c r="F3" s="1" t="s">
        <v>13</v>
      </c>
      <c r="G3" s="1"/>
      <c r="H3" s="1">
        <v>23333</v>
      </c>
      <c r="I3" s="29" t="s">
        <v>34</v>
      </c>
      <c r="K3" s="18" t="s">
        <v>76</v>
      </c>
      <c r="L3" s="27" t="s">
        <v>78</v>
      </c>
      <c r="M3" s="22"/>
    </row>
    <row r="4" spans="1:21" x14ac:dyDescent="0.25">
      <c r="A4" s="26" t="s">
        <v>5</v>
      </c>
      <c r="B4" s="2">
        <v>28564</v>
      </c>
      <c r="C4" s="1">
        <v>1245031</v>
      </c>
      <c r="D4" s="1">
        <v>3</v>
      </c>
      <c r="E4" s="1" t="s">
        <v>10</v>
      </c>
      <c r="F4" s="1" t="s">
        <v>14</v>
      </c>
      <c r="G4" s="1"/>
      <c r="H4" s="1">
        <v>12000</v>
      </c>
      <c r="I4" s="29" t="s">
        <v>35</v>
      </c>
      <c r="K4" s="24" t="e">
        <f>DAVERAGE(Таблица1[#All],Таблица1[[#All],[Оклад 
(руб)]],L3:L4)</f>
        <v>#VALUE!</v>
      </c>
      <c r="L4" s="23" t="s">
        <v>77</v>
      </c>
    </row>
    <row r="5" spans="1:21" x14ac:dyDescent="0.25">
      <c r="A5" s="26" t="s">
        <v>6</v>
      </c>
      <c r="B5" s="2">
        <v>26783</v>
      </c>
      <c r="C5" s="1">
        <v>545037</v>
      </c>
      <c r="D5" s="1">
        <v>1</v>
      </c>
      <c r="E5" s="1" t="s">
        <v>11</v>
      </c>
      <c r="F5" s="1" t="s">
        <v>15</v>
      </c>
      <c r="G5" s="1"/>
      <c r="H5" s="1">
        <v>100000</v>
      </c>
      <c r="I5" s="29" t="s">
        <v>35</v>
      </c>
    </row>
    <row r="6" spans="1:21" x14ac:dyDescent="0.25">
      <c r="A6" s="26" t="s">
        <v>7</v>
      </c>
      <c r="B6" s="2">
        <v>30934</v>
      </c>
      <c r="C6" s="1">
        <v>1245557</v>
      </c>
      <c r="D6" s="1">
        <v>2</v>
      </c>
      <c r="E6" s="1" t="s">
        <v>11</v>
      </c>
      <c r="F6" s="1" t="s">
        <v>15</v>
      </c>
      <c r="G6" s="1"/>
      <c r="H6" s="1">
        <v>10000</v>
      </c>
      <c r="I6" s="29" t="s">
        <v>35</v>
      </c>
    </row>
    <row r="7" spans="1:21" x14ac:dyDescent="0.25">
      <c r="A7" s="26" t="s">
        <v>8</v>
      </c>
      <c r="B7" s="2">
        <v>27544</v>
      </c>
      <c r="C7" s="1">
        <v>121313</v>
      </c>
      <c r="D7" s="1">
        <v>1</v>
      </c>
      <c r="E7" s="1" t="s">
        <v>11</v>
      </c>
      <c r="F7" s="1" t="s">
        <v>15</v>
      </c>
      <c r="G7" s="1"/>
      <c r="H7" s="1">
        <v>1111111</v>
      </c>
      <c r="I7" s="29" t="s">
        <v>35</v>
      </c>
    </row>
    <row r="8" spans="1:21" x14ac:dyDescent="0.25">
      <c r="A8" s="26" t="s">
        <v>29</v>
      </c>
      <c r="B8" s="2">
        <v>28435</v>
      </c>
      <c r="C8" s="1">
        <v>121212</v>
      </c>
      <c r="D8" s="1">
        <v>0</v>
      </c>
      <c r="E8" s="1" t="s">
        <v>10</v>
      </c>
      <c r="F8" s="1" t="s">
        <v>14</v>
      </c>
      <c r="G8" s="1"/>
      <c r="H8" s="1">
        <v>300303</v>
      </c>
      <c r="I8" s="29" t="s">
        <v>35</v>
      </c>
    </row>
    <row r="9" spans="1:21" x14ac:dyDescent="0.25">
      <c r="A9" s="34" t="s">
        <v>30</v>
      </c>
      <c r="B9" s="35">
        <v>28567</v>
      </c>
      <c r="C9" s="36">
        <v>123421</v>
      </c>
      <c r="D9" s="36">
        <v>2</v>
      </c>
      <c r="E9" s="36" t="s">
        <v>31</v>
      </c>
      <c r="F9" s="36" t="s">
        <v>32</v>
      </c>
      <c r="G9" s="36"/>
      <c r="H9" s="36">
        <v>10000</v>
      </c>
      <c r="I9" s="37" t="s">
        <v>35</v>
      </c>
    </row>
    <row r="10" spans="1:21" x14ac:dyDescent="0.25">
      <c r="A10" s="26"/>
      <c r="B10" s="2"/>
      <c r="C10" s="1"/>
      <c r="D10" s="1"/>
      <c r="E10" s="1"/>
      <c r="F10" s="1"/>
      <c r="G10" s="1"/>
      <c r="H10" s="1">
        <v>12000</v>
      </c>
      <c r="I10" s="29"/>
    </row>
    <row r="11" spans="1:21" x14ac:dyDescent="0.25">
      <c r="A11" s="26"/>
      <c r="B11" s="2"/>
      <c r="C11" s="1"/>
      <c r="D11" s="1"/>
      <c r="E11" s="1"/>
      <c r="F11" s="1"/>
      <c r="G11" s="1"/>
      <c r="H11" s="1">
        <v>23333</v>
      </c>
      <c r="I11" s="29"/>
    </row>
    <row r="12" spans="1:21" x14ac:dyDescent="0.25">
      <c r="A12" s="26"/>
      <c r="B12" s="2"/>
      <c r="C12" s="1"/>
      <c r="D12" s="1"/>
      <c r="E12" s="1"/>
      <c r="F12" s="1"/>
      <c r="G12" s="1"/>
      <c r="H12" s="1">
        <v>12000</v>
      </c>
      <c r="I12" s="29"/>
    </row>
    <row r="13" spans="1:21" x14ac:dyDescent="0.25">
      <c r="A13" s="26"/>
      <c r="B13" s="2"/>
      <c r="C13" s="1"/>
      <c r="D13" s="1"/>
      <c r="E13" s="1"/>
      <c r="F13" s="1"/>
      <c r="G13" s="1"/>
      <c r="H13" s="1">
        <v>100000</v>
      </c>
      <c r="I13" s="29"/>
      <c r="K13" s="39" t="s">
        <v>79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</row>
    <row r="14" spans="1:21" x14ac:dyDescent="0.25">
      <c r="A14" s="26"/>
      <c r="B14" s="2"/>
      <c r="C14" s="1"/>
      <c r="D14" s="1"/>
      <c r="E14" s="1"/>
      <c r="F14" s="1"/>
      <c r="G14" s="1"/>
      <c r="H14" s="1">
        <v>10000</v>
      </c>
      <c r="I14" s="29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</row>
    <row r="15" spans="1:21" x14ac:dyDescent="0.25">
      <c r="A15" s="26"/>
      <c r="B15" s="2"/>
      <c r="C15" s="1"/>
      <c r="D15" s="1"/>
      <c r="E15" s="1"/>
      <c r="F15" s="1"/>
      <c r="G15" s="1"/>
      <c r="H15" s="1">
        <v>1111111</v>
      </c>
      <c r="I15" s="2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</row>
    <row r="16" spans="1:21" x14ac:dyDescent="0.25">
      <c r="A16" s="26"/>
      <c r="B16" s="2"/>
      <c r="C16" s="1"/>
      <c r="D16" s="1"/>
      <c r="E16" s="1"/>
      <c r="F16" s="1"/>
      <c r="G16" s="1"/>
      <c r="H16" s="1">
        <v>300303</v>
      </c>
      <c r="I16" s="29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</row>
    <row r="17" spans="1:21" x14ac:dyDescent="0.25">
      <c r="A17" s="34"/>
      <c r="B17" s="35"/>
      <c r="C17" s="36"/>
      <c r="D17" s="36"/>
      <c r="E17" s="36"/>
      <c r="F17" s="36"/>
      <c r="G17" s="36"/>
      <c r="H17" s="36">
        <v>10000</v>
      </c>
      <c r="I17" s="37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</row>
    <row r="18" spans="1:21" x14ac:dyDescent="0.25"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</row>
  </sheetData>
  <mergeCells count="1">
    <mergeCell ref="K13:U18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1"/>
  <sheetViews>
    <sheetView topLeftCell="A70" workbookViewId="0">
      <selection activeCell="G169" sqref="A103:G169"/>
    </sheetView>
  </sheetViews>
  <sheetFormatPr defaultRowHeight="15" outlineLevelRow="2" x14ac:dyDescent="0.25"/>
  <cols>
    <col min="1" max="1" width="21.7109375" bestFit="1" customWidth="1"/>
    <col min="2" max="4" width="4.42578125" customWidth="1"/>
    <col min="5" max="5" width="3.28515625" customWidth="1"/>
    <col min="6" max="6" width="10.5703125" bestFit="1" customWidth="1"/>
    <col min="7" max="7" width="8.7109375" customWidth="1"/>
    <col min="8" max="8" width="42.28515625" bestFit="1" customWidth="1"/>
    <col min="10" max="10" width="2.85546875" customWidth="1"/>
    <col min="11" max="11" width="6.28515625" customWidth="1"/>
  </cols>
  <sheetData>
    <row r="2" spans="1:7" x14ac:dyDescent="0.25">
      <c r="A2" s="49" t="s">
        <v>123</v>
      </c>
    </row>
    <row r="3" spans="1:7" x14ac:dyDescent="0.25">
      <c r="F3" t="s">
        <v>97</v>
      </c>
      <c r="G3" t="s">
        <v>99</v>
      </c>
    </row>
    <row r="4" spans="1:7" hidden="1" outlineLevel="1" x14ac:dyDescent="0.25">
      <c r="E4" t="s">
        <v>122</v>
      </c>
      <c r="F4">
        <f>Склад1!$B$2</f>
        <v>13</v>
      </c>
      <c r="G4">
        <f>Склад1!$C$2</f>
        <v>13000</v>
      </c>
    </row>
    <row r="5" spans="1:7" hidden="1" outlineLevel="1" x14ac:dyDescent="0.25">
      <c r="E5" t="s">
        <v>122</v>
      </c>
      <c r="F5">
        <f>Склад2!$B$2</f>
        <v>123</v>
      </c>
      <c r="G5">
        <f>Склад2!$C$2</f>
        <v>12000</v>
      </c>
    </row>
    <row r="6" spans="1:7" hidden="1" outlineLevel="1" x14ac:dyDescent="0.25">
      <c r="F6">
        <f>Склад2!$B$13</f>
        <v>123</v>
      </c>
      <c r="G6">
        <f>Склад2!$C$13</f>
        <v>12000</v>
      </c>
    </row>
    <row r="7" spans="1:7" collapsed="1" x14ac:dyDescent="0.25">
      <c r="B7" t="s">
        <v>100</v>
      </c>
      <c r="F7">
        <f>SUM(F4:F6)</f>
        <v>259</v>
      </c>
      <c r="G7">
        <f>SUM(G4:G6)</f>
        <v>37000</v>
      </c>
    </row>
    <row r="8" spans="1:7" hidden="1" outlineLevel="2" x14ac:dyDescent="0.25"/>
    <row r="9" spans="1:7" hidden="1" outlineLevel="2" x14ac:dyDescent="0.25"/>
    <row r="10" spans="1:7" hidden="1" outlineLevel="2" x14ac:dyDescent="0.25"/>
    <row r="11" spans="1:7" hidden="1" outlineLevel="1" collapsed="1" x14ac:dyDescent="0.25">
      <c r="E11" t="s">
        <v>122</v>
      </c>
      <c r="F11">
        <f>Склад1!$B$3</f>
        <v>22</v>
      </c>
      <c r="G11">
        <f>Склад1!$C$3</f>
        <v>20000</v>
      </c>
    </row>
    <row r="12" spans="1:7" hidden="1" outlineLevel="2" x14ac:dyDescent="0.25"/>
    <row r="13" spans="1:7" hidden="1" outlineLevel="2" x14ac:dyDescent="0.25"/>
    <row r="14" spans="1:7" hidden="1" outlineLevel="2" x14ac:dyDescent="0.25"/>
    <row r="15" spans="1:7" hidden="1" outlineLevel="1" collapsed="1" x14ac:dyDescent="0.25">
      <c r="E15" t="s">
        <v>122</v>
      </c>
      <c r="F15">
        <f>Склад2!$B$3</f>
        <v>232</v>
      </c>
      <c r="G15">
        <f>Склад2!$C$3</f>
        <v>20000</v>
      </c>
    </row>
    <row r="16" spans="1:7" hidden="1" outlineLevel="2" x14ac:dyDescent="0.25"/>
    <row r="17" spans="2:7" hidden="1" outlineLevel="2" x14ac:dyDescent="0.25"/>
    <row r="18" spans="2:7" hidden="1" outlineLevel="1" collapsed="1" x14ac:dyDescent="0.25">
      <c r="F18">
        <f>Склад2!$B$14</f>
        <v>232</v>
      </c>
      <c r="G18">
        <f>Склад2!$C$14</f>
        <v>20000</v>
      </c>
    </row>
    <row r="19" spans="2:7" hidden="1" outlineLevel="2" x14ac:dyDescent="0.25"/>
    <row r="20" spans="2:7" hidden="1" outlineLevel="2" x14ac:dyDescent="0.25"/>
    <row r="21" spans="2:7" collapsed="1" x14ac:dyDescent="0.25">
      <c r="B21" t="s">
        <v>101</v>
      </c>
      <c r="F21">
        <f>SUM(F11:F18)</f>
        <v>486</v>
      </c>
      <c r="G21">
        <f>SUM(G11:G18)</f>
        <v>60000</v>
      </c>
    </row>
    <row r="22" spans="2:7" hidden="1" outlineLevel="2" x14ac:dyDescent="0.25"/>
    <row r="23" spans="2:7" hidden="1" outlineLevel="2" x14ac:dyDescent="0.25"/>
    <row r="24" spans="2:7" hidden="1" outlineLevel="1" collapsed="1" x14ac:dyDescent="0.25">
      <c r="E24" t="s">
        <v>122</v>
      </c>
      <c r="F24">
        <f>Склад1!$B$4</f>
        <v>12</v>
      </c>
      <c r="G24">
        <f>Склад1!$C$4</f>
        <v>33</v>
      </c>
    </row>
    <row r="25" spans="2:7" hidden="1" outlineLevel="2" x14ac:dyDescent="0.25"/>
    <row r="26" spans="2:7" hidden="1" outlineLevel="2" x14ac:dyDescent="0.25"/>
    <row r="27" spans="2:7" hidden="1" outlineLevel="1" collapsed="1" x14ac:dyDescent="0.25">
      <c r="E27" t="s">
        <v>122</v>
      </c>
      <c r="F27">
        <f>Склад2!$B$4</f>
        <v>1231</v>
      </c>
      <c r="G27">
        <f>Склад2!$C$4</f>
        <v>30000</v>
      </c>
    </row>
    <row r="28" spans="2:7" hidden="1" outlineLevel="2" x14ac:dyDescent="0.25"/>
    <row r="29" spans="2:7" hidden="1" outlineLevel="2" x14ac:dyDescent="0.25"/>
    <row r="30" spans="2:7" collapsed="1" x14ac:dyDescent="0.25">
      <c r="B30" t="s">
        <v>102</v>
      </c>
      <c r="F30">
        <f>SUM(F24:F27)</f>
        <v>1243</v>
      </c>
      <c r="G30">
        <f>SUM(G24:G27)</f>
        <v>30033</v>
      </c>
    </row>
    <row r="31" spans="2:7" hidden="1" outlineLevel="2" x14ac:dyDescent="0.25"/>
    <row r="32" spans="2:7" hidden="1" outlineLevel="2" x14ac:dyDescent="0.25"/>
    <row r="33" spans="2:7" hidden="1" outlineLevel="1" collapsed="1" x14ac:dyDescent="0.25">
      <c r="E33" t="s">
        <v>122</v>
      </c>
      <c r="F33">
        <f>Склад1!$B$5</f>
        <v>2</v>
      </c>
      <c r="G33">
        <f>Склад1!$C$5</f>
        <v>40000</v>
      </c>
    </row>
    <row r="34" spans="2:7" hidden="1" outlineLevel="2" x14ac:dyDescent="0.25"/>
    <row r="35" spans="2:7" hidden="1" outlineLevel="2" x14ac:dyDescent="0.25"/>
    <row r="36" spans="2:7" hidden="1" outlineLevel="1" collapsed="1" x14ac:dyDescent="0.25">
      <c r="E36" t="s">
        <v>122</v>
      </c>
      <c r="F36">
        <f>Склад2!$B$5</f>
        <v>233</v>
      </c>
      <c r="G36">
        <f>Склад2!$C$5</f>
        <v>40000</v>
      </c>
    </row>
    <row r="37" spans="2:7" hidden="1" outlineLevel="2" x14ac:dyDescent="0.25"/>
    <row r="38" spans="2:7" hidden="1" outlineLevel="2" x14ac:dyDescent="0.25"/>
    <row r="39" spans="2:7" collapsed="1" x14ac:dyDescent="0.25">
      <c r="B39" t="s">
        <v>103</v>
      </c>
      <c r="F39">
        <f>SUM(F33:F36)</f>
        <v>235</v>
      </c>
      <c r="G39">
        <f>SUM(G33:G36)</f>
        <v>80000</v>
      </c>
    </row>
    <row r="40" spans="2:7" hidden="1" outlineLevel="2" x14ac:dyDescent="0.25"/>
    <row r="41" spans="2:7" hidden="1" outlineLevel="2" x14ac:dyDescent="0.25"/>
    <row r="42" spans="2:7" hidden="1" outlineLevel="1" collapsed="1" x14ac:dyDescent="0.25">
      <c r="E42" t="s">
        <v>122</v>
      </c>
      <c r="F42">
        <f>Склад1!$B$6</f>
        <v>2</v>
      </c>
      <c r="G42">
        <f>Склад1!$C$6</f>
        <v>333</v>
      </c>
    </row>
    <row r="43" spans="2:7" hidden="1" outlineLevel="2" x14ac:dyDescent="0.25"/>
    <row r="44" spans="2:7" hidden="1" outlineLevel="1" collapsed="1" x14ac:dyDescent="0.25">
      <c r="E44" t="s">
        <v>122</v>
      </c>
      <c r="F44">
        <f>Склад2!$B$6</f>
        <v>23</v>
      </c>
      <c r="G44">
        <f>Склад2!$C$6</f>
        <v>50000</v>
      </c>
    </row>
    <row r="45" spans="2:7" hidden="1" outlineLevel="2" x14ac:dyDescent="0.25"/>
    <row r="46" spans="2:7" collapsed="1" x14ac:dyDescent="0.25">
      <c r="B46" t="s">
        <v>104</v>
      </c>
      <c r="F46">
        <f>SUM(F42:F44)</f>
        <v>25</v>
      </c>
      <c r="G46">
        <f>SUM(G42:G44)</f>
        <v>50333</v>
      </c>
    </row>
    <row r="47" spans="2:7" hidden="1" outlineLevel="2" x14ac:dyDescent="0.25"/>
    <row r="48" spans="2:7" hidden="1" outlineLevel="1" collapsed="1" x14ac:dyDescent="0.25">
      <c r="E48" t="s">
        <v>122</v>
      </c>
      <c r="F48">
        <f>Склад1!$B$7</f>
        <v>3</v>
      </c>
      <c r="G48">
        <f>Склад1!$C$7</f>
        <v>33</v>
      </c>
    </row>
    <row r="49" spans="2:7" hidden="1" outlineLevel="2" x14ac:dyDescent="0.25"/>
    <row r="50" spans="2:7" hidden="1" outlineLevel="1" collapsed="1" x14ac:dyDescent="0.25">
      <c r="E50" t="s">
        <v>122</v>
      </c>
      <c r="F50">
        <f>Склад2!$B$7</f>
        <v>32</v>
      </c>
      <c r="G50">
        <f>Склад2!$C$7</f>
        <v>60000</v>
      </c>
    </row>
    <row r="51" spans="2:7" hidden="1" outlineLevel="2" x14ac:dyDescent="0.25"/>
    <row r="52" spans="2:7" collapsed="1" x14ac:dyDescent="0.25">
      <c r="B52" t="s">
        <v>105</v>
      </c>
      <c r="F52">
        <f>SUM(F48:F50)</f>
        <v>35</v>
      </c>
      <c r="G52">
        <f>SUM(G48:G50)</f>
        <v>60033</v>
      </c>
    </row>
    <row r="53" spans="2:7" hidden="1" outlineLevel="2" x14ac:dyDescent="0.25"/>
    <row r="54" spans="2:7" hidden="1" outlineLevel="1" collapsed="1" x14ac:dyDescent="0.25">
      <c r="E54" t="s">
        <v>122</v>
      </c>
      <c r="F54">
        <f>Склад1!$B$8</f>
        <v>1</v>
      </c>
      <c r="G54">
        <f>Склад1!$C$8</f>
        <v>70000</v>
      </c>
    </row>
    <row r="55" spans="2:7" hidden="1" outlineLevel="2" x14ac:dyDescent="0.25"/>
    <row r="56" spans="2:7" hidden="1" outlineLevel="1" collapsed="1" x14ac:dyDescent="0.25">
      <c r="E56" t="s">
        <v>122</v>
      </c>
      <c r="F56">
        <f>Склад2!$B$8</f>
        <v>2</v>
      </c>
      <c r="G56">
        <f>Склад2!$C$8</f>
        <v>70000</v>
      </c>
    </row>
    <row r="57" spans="2:7" hidden="1" outlineLevel="2" x14ac:dyDescent="0.25"/>
    <row r="58" spans="2:7" collapsed="1" x14ac:dyDescent="0.25">
      <c r="B58" t="s">
        <v>106</v>
      </c>
      <c r="F58">
        <f>SUM(F54:F56)</f>
        <v>3</v>
      </c>
      <c r="G58">
        <f>SUM(G54:G56)</f>
        <v>140000</v>
      </c>
    </row>
    <row r="59" spans="2:7" hidden="1" outlineLevel="2" x14ac:dyDescent="0.25"/>
    <row r="60" spans="2:7" hidden="1" outlineLevel="1" collapsed="1" x14ac:dyDescent="0.25">
      <c r="E60" t="s">
        <v>122</v>
      </c>
      <c r="F60">
        <f>Склад1!$B$9</f>
        <v>33</v>
      </c>
      <c r="G60">
        <f>Склад1!$C$9</f>
        <v>80000</v>
      </c>
    </row>
    <row r="61" spans="2:7" hidden="1" outlineLevel="2" x14ac:dyDescent="0.25"/>
    <row r="62" spans="2:7" hidden="1" outlineLevel="1" collapsed="1" x14ac:dyDescent="0.25">
      <c r="E62" t="s">
        <v>122</v>
      </c>
      <c r="F62">
        <f>Склад2!$B$9</f>
        <v>2</v>
      </c>
      <c r="G62">
        <f>Склад2!$C$9</f>
        <v>80000</v>
      </c>
    </row>
    <row r="63" spans="2:7" hidden="1" outlineLevel="2" x14ac:dyDescent="0.25"/>
    <row r="64" spans="2:7" collapsed="1" x14ac:dyDescent="0.25">
      <c r="B64" t="s">
        <v>107</v>
      </c>
      <c r="F64">
        <f>SUM(F60:F62)</f>
        <v>35</v>
      </c>
      <c r="G64">
        <f>SUM(G60:G62)</f>
        <v>160000</v>
      </c>
    </row>
    <row r="65" spans="2:7" hidden="1" outlineLevel="1" x14ac:dyDescent="0.25">
      <c r="E65" t="s">
        <v>122</v>
      </c>
      <c r="F65">
        <f>Склад1!$B$10</f>
        <v>2</v>
      </c>
      <c r="G65">
        <f>Склад1!$C$10</f>
        <v>3333</v>
      </c>
    </row>
    <row r="66" spans="2:7" hidden="1" outlineLevel="1" x14ac:dyDescent="0.25">
      <c r="E66" t="s">
        <v>122</v>
      </c>
      <c r="F66">
        <f>Склад2!$B$10</f>
        <v>2</v>
      </c>
      <c r="G66">
        <f>Склад2!$C$10</f>
        <v>90000</v>
      </c>
    </row>
    <row r="67" spans="2:7" collapsed="1" x14ac:dyDescent="0.25">
      <c r="B67" t="s">
        <v>108</v>
      </c>
      <c r="F67">
        <f>SUM(F65:F66)</f>
        <v>4</v>
      </c>
      <c r="G67">
        <f>SUM(G65:G66)</f>
        <v>93333</v>
      </c>
    </row>
    <row r="68" spans="2:7" hidden="1" outlineLevel="1" x14ac:dyDescent="0.25">
      <c r="E68" t="s">
        <v>122</v>
      </c>
      <c r="F68">
        <f>Склад1!$B$11</f>
        <v>11</v>
      </c>
      <c r="G68">
        <f>Склад1!$C$11</f>
        <v>100000</v>
      </c>
    </row>
    <row r="69" spans="2:7" hidden="1" outlineLevel="1" x14ac:dyDescent="0.25">
      <c r="E69" t="s">
        <v>122</v>
      </c>
      <c r="F69">
        <f>Склад2!$B$11</f>
        <v>1</v>
      </c>
      <c r="G69">
        <f>Склад2!$C$11</f>
        <v>100000</v>
      </c>
    </row>
    <row r="70" spans="2:7" collapsed="1" x14ac:dyDescent="0.25">
      <c r="B70" t="s">
        <v>109</v>
      </c>
      <c r="F70">
        <f>SUM(F68:F69)</f>
        <v>12</v>
      </c>
      <c r="G70">
        <f>SUM(G68:G69)</f>
        <v>200000</v>
      </c>
    </row>
    <row r="71" spans="2:7" hidden="1" outlineLevel="1" x14ac:dyDescent="0.25">
      <c r="E71" t="s">
        <v>122</v>
      </c>
      <c r="F71">
        <f>Склад1!$B$12</f>
        <v>1</v>
      </c>
      <c r="G71">
        <f>Склад1!$C$12</f>
        <v>110000</v>
      </c>
    </row>
    <row r="72" spans="2:7" hidden="1" outlineLevel="1" x14ac:dyDescent="0.25">
      <c r="E72" t="s">
        <v>122</v>
      </c>
      <c r="F72">
        <f>Склад2!$B$12</f>
        <v>1</v>
      </c>
      <c r="G72">
        <f>Склад2!$C$12</f>
        <v>110000</v>
      </c>
    </row>
    <row r="73" spans="2:7" collapsed="1" x14ac:dyDescent="0.25">
      <c r="B73" t="s">
        <v>110</v>
      </c>
      <c r="F73">
        <f>SUM(F71:F72)</f>
        <v>2</v>
      </c>
      <c r="G73">
        <f>SUM(G71:G72)</f>
        <v>220000</v>
      </c>
    </row>
    <row r="74" spans="2:7" hidden="1" outlineLevel="1" x14ac:dyDescent="0.25">
      <c r="E74" t="s">
        <v>122</v>
      </c>
      <c r="F74">
        <f>Склад3!$B$2</f>
        <v>1232</v>
      </c>
      <c r="G74">
        <f>Склад3!$C$2</f>
        <v>1000</v>
      </c>
    </row>
    <row r="75" spans="2:7" collapsed="1" x14ac:dyDescent="0.25">
      <c r="B75" t="s">
        <v>111</v>
      </c>
      <c r="F75">
        <f>SUM(F74)</f>
        <v>1232</v>
      </c>
      <c r="G75">
        <f>SUM(G74)</f>
        <v>1000</v>
      </c>
    </row>
    <row r="76" spans="2:7" hidden="1" outlineLevel="1" x14ac:dyDescent="0.25">
      <c r="E76" t="s">
        <v>122</v>
      </c>
      <c r="F76">
        <f>Склад3!$B$3</f>
        <v>125</v>
      </c>
      <c r="G76">
        <f>Склад3!$C$3</f>
        <v>1100</v>
      </c>
    </row>
    <row r="77" spans="2:7" collapsed="1" x14ac:dyDescent="0.25">
      <c r="B77" t="s">
        <v>112</v>
      </c>
      <c r="F77">
        <f>SUM(F76)</f>
        <v>125</v>
      </c>
      <c r="G77">
        <f>SUM(G76)</f>
        <v>1100</v>
      </c>
    </row>
    <row r="78" spans="2:7" hidden="1" outlineLevel="1" x14ac:dyDescent="0.25">
      <c r="E78" t="s">
        <v>122</v>
      </c>
      <c r="F78">
        <f>Склад3!$B$4</f>
        <v>2127</v>
      </c>
      <c r="G78">
        <f>Склад3!$C$4</f>
        <v>1200</v>
      </c>
    </row>
    <row r="79" spans="2:7" collapsed="1" x14ac:dyDescent="0.25">
      <c r="B79" t="s">
        <v>113</v>
      </c>
      <c r="F79">
        <f>SUM(F78)</f>
        <v>2127</v>
      </c>
      <c r="G79">
        <f>SUM(G78)</f>
        <v>1200</v>
      </c>
    </row>
    <row r="80" spans="2:7" hidden="1" outlineLevel="1" x14ac:dyDescent="0.25">
      <c r="E80" t="s">
        <v>122</v>
      </c>
      <c r="F80">
        <f>Склад3!$B$5</f>
        <v>129</v>
      </c>
      <c r="G80">
        <f>Склад3!$C$5</f>
        <v>1300</v>
      </c>
    </row>
    <row r="81" spans="2:7" collapsed="1" x14ac:dyDescent="0.25">
      <c r="B81" t="s">
        <v>114</v>
      </c>
      <c r="F81">
        <f>SUM(F80)</f>
        <v>129</v>
      </c>
      <c r="G81">
        <f>SUM(G80)</f>
        <v>1300</v>
      </c>
    </row>
    <row r="82" spans="2:7" hidden="1" outlineLevel="1" x14ac:dyDescent="0.25">
      <c r="E82" t="s">
        <v>122</v>
      </c>
      <c r="F82">
        <f>Склад3!$B$6</f>
        <v>131</v>
      </c>
      <c r="G82">
        <f>Склад3!$C$6</f>
        <v>1400</v>
      </c>
    </row>
    <row r="83" spans="2:7" collapsed="1" x14ac:dyDescent="0.25">
      <c r="B83" t="s">
        <v>115</v>
      </c>
      <c r="F83">
        <f>SUM(F82)</f>
        <v>131</v>
      </c>
      <c r="G83">
        <f>SUM(G82)</f>
        <v>1400</v>
      </c>
    </row>
    <row r="84" spans="2:7" hidden="1" outlineLevel="1" x14ac:dyDescent="0.25">
      <c r="E84" t="s">
        <v>122</v>
      </c>
      <c r="F84">
        <f>Склад3!$B$7</f>
        <v>133</v>
      </c>
      <c r="G84">
        <f>Склад3!$C$7</f>
        <v>1500</v>
      </c>
    </row>
    <row r="85" spans="2:7" collapsed="1" x14ac:dyDescent="0.25">
      <c r="B85" t="s">
        <v>116</v>
      </c>
      <c r="F85">
        <f>SUM(F84)</f>
        <v>133</v>
      </c>
      <c r="G85">
        <f>SUM(G84)</f>
        <v>1500</v>
      </c>
    </row>
    <row r="86" spans="2:7" hidden="1" outlineLevel="1" x14ac:dyDescent="0.25">
      <c r="E86" t="s">
        <v>122</v>
      </c>
      <c r="F86">
        <f>Склад3!$B$8</f>
        <v>135</v>
      </c>
      <c r="G86">
        <f>Склад3!$C$8</f>
        <v>1600</v>
      </c>
    </row>
    <row r="87" spans="2:7" collapsed="1" x14ac:dyDescent="0.25">
      <c r="B87" t="s">
        <v>117</v>
      </c>
      <c r="F87">
        <f>SUM(F86)</f>
        <v>135</v>
      </c>
      <c r="G87">
        <f>SUM(G86)</f>
        <v>1600</v>
      </c>
    </row>
    <row r="88" spans="2:7" hidden="1" outlineLevel="1" x14ac:dyDescent="0.25">
      <c r="E88" t="s">
        <v>122</v>
      </c>
      <c r="F88">
        <f>Склад3!$B$9</f>
        <v>137</v>
      </c>
      <c r="G88">
        <f>Склад3!$C$9</f>
        <v>1700</v>
      </c>
    </row>
    <row r="89" spans="2:7" collapsed="1" x14ac:dyDescent="0.25">
      <c r="B89" t="s">
        <v>118</v>
      </c>
      <c r="F89">
        <f>SUM(F88)</f>
        <v>137</v>
      </c>
      <c r="G89">
        <f>SUM(G88)</f>
        <v>1700</v>
      </c>
    </row>
    <row r="90" spans="2:7" hidden="1" outlineLevel="1" x14ac:dyDescent="0.25">
      <c r="E90" t="s">
        <v>122</v>
      </c>
      <c r="F90">
        <f>Склад3!$B$10</f>
        <v>139</v>
      </c>
      <c r="G90">
        <f>Склад3!$C$10</f>
        <v>1800</v>
      </c>
    </row>
    <row r="91" spans="2:7" collapsed="1" x14ac:dyDescent="0.25">
      <c r="B91" t="s">
        <v>119</v>
      </c>
      <c r="F91">
        <f>SUM(F90)</f>
        <v>139</v>
      </c>
      <c r="G91">
        <f>SUM(G90)</f>
        <v>1800</v>
      </c>
    </row>
    <row r="92" spans="2:7" hidden="1" outlineLevel="1" x14ac:dyDescent="0.25">
      <c r="E92" t="s">
        <v>122</v>
      </c>
      <c r="F92">
        <f>Склад3!$B$11</f>
        <v>141</v>
      </c>
      <c r="G92">
        <f>Склад3!$C$11</f>
        <v>1900</v>
      </c>
    </row>
    <row r="93" spans="2:7" collapsed="1" x14ac:dyDescent="0.25">
      <c r="B93" t="s">
        <v>120</v>
      </c>
      <c r="F93">
        <f>SUM(F92)</f>
        <v>141</v>
      </c>
      <c r="G93">
        <f>SUM(G92)</f>
        <v>1900</v>
      </c>
    </row>
    <row r="94" spans="2:7" hidden="1" outlineLevel="1" x14ac:dyDescent="0.25">
      <c r="E94" t="s">
        <v>122</v>
      </c>
      <c r="F94">
        <f>Склад3!$B$12</f>
        <v>143</v>
      </c>
      <c r="G94">
        <f>Склад3!$C$12</f>
        <v>2000</v>
      </c>
    </row>
    <row r="95" spans="2:7" collapsed="1" x14ac:dyDescent="0.25">
      <c r="B95" t="s">
        <v>121</v>
      </c>
      <c r="F95">
        <f>SUM(F94)</f>
        <v>143</v>
      </c>
      <c r="G95">
        <f>SUM(G94)</f>
        <v>2000</v>
      </c>
    </row>
    <row r="100" hidden="1" x14ac:dyDescent="0.25"/>
    <row r="101" hidden="1" x14ac:dyDescent="0.25"/>
    <row r="102" hidden="1" x14ac:dyDescent="0.25"/>
    <row r="103" collapsed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collapsed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collapsed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collapsed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collapsed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collapsed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collapsed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collapsed="1" x14ac:dyDescent="0.25"/>
    <row r="161" hidden="1" x14ac:dyDescent="0.25"/>
    <row r="162" hidden="1" x14ac:dyDescent="0.25"/>
    <row r="163" collapsed="1" x14ac:dyDescent="0.25"/>
    <row r="164" hidden="1" x14ac:dyDescent="0.25"/>
    <row r="165" hidden="1" x14ac:dyDescent="0.25"/>
    <row r="166" collapsed="1" x14ac:dyDescent="0.25"/>
    <row r="167" hidden="1" x14ac:dyDescent="0.25"/>
    <row r="168" hidden="1" x14ac:dyDescent="0.25"/>
    <row r="169" collapsed="1" x14ac:dyDescent="0.25"/>
    <row r="170" hidden="1" x14ac:dyDescent="0.25"/>
    <row r="171" collapsed="1" x14ac:dyDescent="0.25"/>
    <row r="172" hidden="1" x14ac:dyDescent="0.25"/>
    <row r="173" collapsed="1" x14ac:dyDescent="0.25"/>
    <row r="174" hidden="1" x14ac:dyDescent="0.25"/>
    <row r="175" collapsed="1" x14ac:dyDescent="0.25"/>
    <row r="176" hidden="1" x14ac:dyDescent="0.25"/>
    <row r="177" collapsed="1" x14ac:dyDescent="0.25"/>
    <row r="178" hidden="1" x14ac:dyDescent="0.25"/>
    <row r="179" collapsed="1" x14ac:dyDescent="0.25"/>
    <row r="180" hidden="1" x14ac:dyDescent="0.25"/>
    <row r="181" collapsed="1" x14ac:dyDescent="0.25"/>
    <row r="182" hidden="1" x14ac:dyDescent="0.25"/>
    <row r="183" collapsed="1" x14ac:dyDescent="0.25"/>
    <row r="184" hidden="1" x14ac:dyDescent="0.25"/>
    <row r="185" collapsed="1" x14ac:dyDescent="0.25"/>
    <row r="186" hidden="1" x14ac:dyDescent="0.25"/>
    <row r="187" collapsed="1" x14ac:dyDescent="0.25"/>
    <row r="188" hidden="1" x14ac:dyDescent="0.25"/>
    <row r="189" collapsed="1" x14ac:dyDescent="0.25"/>
    <row r="190" hidden="1" x14ac:dyDescent="0.25"/>
    <row r="191" collapsed="1" x14ac:dyDescent="0.25"/>
  </sheetData>
  <dataConsolidate leftLabels="1" topLabels="1" link="1">
    <dataRefs count="3">
      <dataRef ref="A1:C12" sheet="Склад1-3"/>
      <dataRef ref="N8:P19" sheet="Склад1-3"/>
      <dataRef ref="H21:J34" sheet="Склад1-3"/>
    </dataRefs>
  </dataConsolid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25" sqref="D25"/>
    </sheetView>
  </sheetViews>
  <sheetFormatPr defaultRowHeight="15" x14ac:dyDescent="0.25"/>
  <cols>
    <col min="1" max="1" width="21.7109375" bestFit="1" customWidth="1"/>
    <col min="2" max="2" width="12" bestFit="1" customWidth="1"/>
    <col min="3" max="3" width="10.5703125" bestFit="1" customWidth="1"/>
  </cols>
  <sheetData>
    <row r="1" spans="1:3" x14ac:dyDescent="0.25">
      <c r="A1" s="1" t="s">
        <v>98</v>
      </c>
      <c r="B1" s="1" t="s">
        <v>97</v>
      </c>
      <c r="C1" s="1" t="s">
        <v>99</v>
      </c>
    </row>
    <row r="2" spans="1:3" x14ac:dyDescent="0.25">
      <c r="A2" s="1" t="s">
        <v>100</v>
      </c>
      <c r="B2" s="1">
        <v>13</v>
      </c>
      <c r="C2" s="1">
        <v>13000</v>
      </c>
    </row>
    <row r="3" spans="1:3" x14ac:dyDescent="0.25">
      <c r="A3" s="1" t="s">
        <v>101</v>
      </c>
      <c r="B3" s="1">
        <v>22</v>
      </c>
      <c r="C3" s="1">
        <v>20000</v>
      </c>
    </row>
    <row r="4" spans="1:3" x14ac:dyDescent="0.25">
      <c r="A4" s="1" t="s">
        <v>102</v>
      </c>
      <c r="B4" s="1">
        <v>12</v>
      </c>
      <c r="C4" s="1">
        <v>33</v>
      </c>
    </row>
    <row r="5" spans="1:3" x14ac:dyDescent="0.25">
      <c r="A5" s="1" t="s">
        <v>103</v>
      </c>
      <c r="B5" s="1">
        <v>2</v>
      </c>
      <c r="C5" s="1">
        <v>40000</v>
      </c>
    </row>
    <row r="6" spans="1:3" x14ac:dyDescent="0.25">
      <c r="A6" s="1" t="s">
        <v>104</v>
      </c>
      <c r="B6" s="1">
        <v>2</v>
      </c>
      <c r="C6" s="1">
        <v>333</v>
      </c>
    </row>
    <row r="7" spans="1:3" x14ac:dyDescent="0.25">
      <c r="A7" s="1" t="s">
        <v>105</v>
      </c>
      <c r="B7" s="1">
        <v>3</v>
      </c>
      <c r="C7" s="1">
        <v>33</v>
      </c>
    </row>
    <row r="8" spans="1:3" x14ac:dyDescent="0.25">
      <c r="A8" s="1" t="s">
        <v>106</v>
      </c>
      <c r="B8" s="1">
        <v>1</v>
      </c>
      <c r="C8" s="1">
        <v>70000</v>
      </c>
    </row>
    <row r="9" spans="1:3" x14ac:dyDescent="0.25">
      <c r="A9" s="1" t="s">
        <v>107</v>
      </c>
      <c r="B9" s="1">
        <v>33</v>
      </c>
      <c r="C9" s="1">
        <v>80000</v>
      </c>
    </row>
    <row r="10" spans="1:3" x14ac:dyDescent="0.25">
      <c r="A10" s="1" t="s">
        <v>108</v>
      </c>
      <c r="B10" s="1">
        <v>2</v>
      </c>
      <c r="C10" s="1">
        <v>3333</v>
      </c>
    </row>
    <row r="11" spans="1:3" x14ac:dyDescent="0.25">
      <c r="A11" s="1" t="s">
        <v>109</v>
      </c>
      <c r="B11" s="1">
        <v>11</v>
      </c>
      <c r="C11" s="1">
        <v>100000</v>
      </c>
    </row>
    <row r="12" spans="1:3" x14ac:dyDescent="0.25">
      <c r="A12" s="1" t="s">
        <v>110</v>
      </c>
      <c r="B12" s="1">
        <v>1</v>
      </c>
      <c r="C12" s="1">
        <v>110000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C14"/>
    </sheetView>
  </sheetViews>
  <sheetFormatPr defaultRowHeight="15" x14ac:dyDescent="0.25"/>
  <cols>
    <col min="1" max="1" width="21.7109375" bestFit="1" customWidth="1"/>
    <col min="2" max="2" width="12" bestFit="1" customWidth="1"/>
    <col min="3" max="3" width="10.5703125" bestFit="1" customWidth="1"/>
  </cols>
  <sheetData>
    <row r="1" spans="1:3" x14ac:dyDescent="0.25">
      <c r="A1" s="1" t="s">
        <v>98</v>
      </c>
      <c r="B1" s="1" t="s">
        <v>97</v>
      </c>
      <c r="C1" s="1" t="s">
        <v>99</v>
      </c>
    </row>
    <row r="2" spans="1:3" x14ac:dyDescent="0.25">
      <c r="A2" s="1" t="s">
        <v>100</v>
      </c>
      <c r="B2" s="1">
        <v>123</v>
      </c>
      <c r="C2" s="1">
        <v>12000</v>
      </c>
    </row>
    <row r="3" spans="1:3" x14ac:dyDescent="0.25">
      <c r="A3" s="1" t="s">
        <v>101</v>
      </c>
      <c r="B3" s="1">
        <v>232</v>
      </c>
      <c r="C3" s="1">
        <v>20000</v>
      </c>
    </row>
    <row r="4" spans="1:3" x14ac:dyDescent="0.25">
      <c r="A4" s="1" t="s">
        <v>102</v>
      </c>
      <c r="B4" s="1">
        <v>1231</v>
      </c>
      <c r="C4" s="1">
        <v>30000</v>
      </c>
    </row>
    <row r="5" spans="1:3" x14ac:dyDescent="0.25">
      <c r="A5" s="1" t="s">
        <v>103</v>
      </c>
      <c r="B5" s="1">
        <v>233</v>
      </c>
      <c r="C5" s="1">
        <v>40000</v>
      </c>
    </row>
    <row r="6" spans="1:3" x14ac:dyDescent="0.25">
      <c r="A6" s="1" t="s">
        <v>104</v>
      </c>
      <c r="B6" s="1">
        <v>23</v>
      </c>
      <c r="C6" s="1">
        <v>50000</v>
      </c>
    </row>
    <row r="7" spans="1:3" x14ac:dyDescent="0.25">
      <c r="A7" s="1" t="s">
        <v>105</v>
      </c>
      <c r="B7" s="1">
        <v>32</v>
      </c>
      <c r="C7" s="1">
        <v>60000</v>
      </c>
    </row>
    <row r="8" spans="1:3" x14ac:dyDescent="0.25">
      <c r="A8" s="1" t="s">
        <v>106</v>
      </c>
      <c r="B8" s="1">
        <v>2</v>
      </c>
      <c r="C8" s="1">
        <v>70000</v>
      </c>
    </row>
    <row r="9" spans="1:3" x14ac:dyDescent="0.25">
      <c r="A9" s="1" t="s">
        <v>107</v>
      </c>
      <c r="B9" s="1">
        <v>2</v>
      </c>
      <c r="C9" s="1">
        <v>80000</v>
      </c>
    </row>
    <row r="10" spans="1:3" x14ac:dyDescent="0.25">
      <c r="A10" s="1" t="s">
        <v>108</v>
      </c>
      <c r="B10" s="1">
        <v>2</v>
      </c>
      <c r="C10" s="1">
        <v>90000</v>
      </c>
    </row>
    <row r="11" spans="1:3" x14ac:dyDescent="0.25">
      <c r="A11" s="1" t="s">
        <v>109</v>
      </c>
      <c r="B11" s="1">
        <v>1</v>
      </c>
      <c r="C11" s="1">
        <v>100000</v>
      </c>
    </row>
    <row r="12" spans="1:3" x14ac:dyDescent="0.25">
      <c r="A12" s="1" t="s">
        <v>110</v>
      </c>
      <c r="B12" s="1">
        <v>1</v>
      </c>
      <c r="C12" s="1">
        <v>110000</v>
      </c>
    </row>
    <row r="13" spans="1:3" x14ac:dyDescent="0.25">
      <c r="A13" s="1" t="s">
        <v>100</v>
      </c>
      <c r="B13" s="1">
        <v>123</v>
      </c>
      <c r="C13" s="1">
        <v>12000</v>
      </c>
    </row>
    <row r="14" spans="1:3" x14ac:dyDescent="0.25">
      <c r="A14" s="1" t="s">
        <v>101</v>
      </c>
      <c r="B14" s="1">
        <v>232</v>
      </c>
      <c r="C14" s="1">
        <v>20000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2"/>
    </sheetView>
  </sheetViews>
  <sheetFormatPr defaultRowHeight="15" x14ac:dyDescent="0.25"/>
  <cols>
    <col min="1" max="1" width="21.7109375" bestFit="1" customWidth="1"/>
    <col min="2" max="2" width="12" bestFit="1" customWidth="1"/>
    <col min="3" max="3" width="10.5703125" bestFit="1" customWidth="1"/>
  </cols>
  <sheetData>
    <row r="1" spans="1:3" x14ac:dyDescent="0.25">
      <c r="A1" s="1" t="s">
        <v>98</v>
      </c>
      <c r="B1" s="1" t="s">
        <v>97</v>
      </c>
      <c r="C1" s="1" t="s">
        <v>99</v>
      </c>
    </row>
    <row r="2" spans="1:3" x14ac:dyDescent="0.25">
      <c r="A2" s="1" t="s">
        <v>111</v>
      </c>
      <c r="B2" s="1">
        <v>1232</v>
      </c>
      <c r="C2" s="1">
        <v>1000</v>
      </c>
    </row>
    <row r="3" spans="1:3" x14ac:dyDescent="0.25">
      <c r="A3" s="1" t="s">
        <v>112</v>
      </c>
      <c r="B3" s="1">
        <v>125</v>
      </c>
      <c r="C3" s="1">
        <v>1100</v>
      </c>
    </row>
    <row r="4" spans="1:3" x14ac:dyDescent="0.25">
      <c r="A4" s="1" t="s">
        <v>113</v>
      </c>
      <c r="B4" s="1">
        <v>2127</v>
      </c>
      <c r="C4" s="1">
        <v>1200</v>
      </c>
    </row>
    <row r="5" spans="1:3" x14ac:dyDescent="0.25">
      <c r="A5" s="1" t="s">
        <v>114</v>
      </c>
      <c r="B5" s="1">
        <v>129</v>
      </c>
      <c r="C5" s="1">
        <v>1300</v>
      </c>
    </row>
    <row r="6" spans="1:3" x14ac:dyDescent="0.25">
      <c r="A6" s="1" t="s">
        <v>115</v>
      </c>
      <c r="B6" s="1">
        <v>131</v>
      </c>
      <c r="C6" s="1">
        <v>1400</v>
      </c>
    </row>
    <row r="7" spans="1:3" x14ac:dyDescent="0.25">
      <c r="A7" s="1" t="s">
        <v>116</v>
      </c>
      <c r="B7" s="1">
        <v>133</v>
      </c>
      <c r="C7" s="1">
        <v>1500</v>
      </c>
    </row>
    <row r="8" spans="1:3" x14ac:dyDescent="0.25">
      <c r="A8" s="1" t="s">
        <v>117</v>
      </c>
      <c r="B8" s="1">
        <v>135</v>
      </c>
      <c r="C8" s="1">
        <v>1600</v>
      </c>
    </row>
    <row r="9" spans="1:3" x14ac:dyDescent="0.25">
      <c r="A9" s="1" t="s">
        <v>118</v>
      </c>
      <c r="B9" s="1">
        <v>137</v>
      </c>
      <c r="C9" s="1">
        <v>1700</v>
      </c>
    </row>
    <row r="10" spans="1:3" x14ac:dyDescent="0.25">
      <c r="A10" s="1" t="s">
        <v>119</v>
      </c>
      <c r="B10" s="1">
        <v>139</v>
      </c>
      <c r="C10" s="1">
        <v>1800</v>
      </c>
    </row>
    <row r="11" spans="1:3" x14ac:dyDescent="0.25">
      <c r="A11" s="1" t="s">
        <v>120</v>
      </c>
      <c r="B11" s="1">
        <v>141</v>
      </c>
      <c r="C11" s="1">
        <v>1900</v>
      </c>
    </row>
    <row r="12" spans="1:3" x14ac:dyDescent="0.25">
      <c r="A12" s="1" t="s">
        <v>121</v>
      </c>
      <c r="B12" s="1">
        <v>143</v>
      </c>
      <c r="C12" s="1">
        <v>2000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Normal="100" workbookViewId="0">
      <selection activeCell="B22" sqref="B22"/>
    </sheetView>
  </sheetViews>
  <sheetFormatPr defaultRowHeight="15" x14ac:dyDescent="0.25"/>
  <cols>
    <col min="1" max="1" width="18" style="12" customWidth="1"/>
    <col min="2" max="2" width="22.5703125" customWidth="1"/>
    <col min="3" max="3" width="11" customWidth="1"/>
  </cols>
  <sheetData>
    <row r="1" spans="1:6" ht="22.5" customHeight="1" x14ac:dyDescent="0.25">
      <c r="A1" s="41" t="s">
        <v>78</v>
      </c>
      <c r="B1" s="42" t="s">
        <v>80</v>
      </c>
      <c r="C1" s="42" t="s">
        <v>81</v>
      </c>
      <c r="D1" s="42" t="s">
        <v>82</v>
      </c>
      <c r="E1" s="42" t="s">
        <v>83</v>
      </c>
      <c r="F1" s="42" t="s">
        <v>84</v>
      </c>
    </row>
    <row r="2" spans="1:6" ht="30" x14ac:dyDescent="0.25">
      <c r="A2" s="2">
        <v>43487</v>
      </c>
      <c r="B2" s="43" t="s">
        <v>85</v>
      </c>
      <c r="C2" s="1" t="s">
        <v>88</v>
      </c>
      <c r="D2" s="40">
        <v>38</v>
      </c>
      <c r="E2" s="40">
        <v>30</v>
      </c>
      <c r="F2" s="40">
        <v>1140</v>
      </c>
    </row>
    <row r="3" spans="1:6" ht="30" x14ac:dyDescent="0.25">
      <c r="A3" s="2">
        <v>43487</v>
      </c>
      <c r="B3" s="43" t="s">
        <v>85</v>
      </c>
      <c r="C3" s="1" t="s">
        <v>89</v>
      </c>
      <c r="D3" s="40">
        <v>22</v>
      </c>
      <c r="E3" s="40">
        <v>30</v>
      </c>
      <c r="F3" s="40">
        <v>660</v>
      </c>
    </row>
    <row r="4" spans="1:6" x14ac:dyDescent="0.25">
      <c r="A4" s="2">
        <v>43487</v>
      </c>
      <c r="B4" s="1" t="s">
        <v>86</v>
      </c>
      <c r="C4" s="1" t="s">
        <v>90</v>
      </c>
      <c r="D4" s="40">
        <v>40</v>
      </c>
      <c r="E4" s="40">
        <v>10</v>
      </c>
      <c r="F4" s="40">
        <v>400</v>
      </c>
    </row>
    <row r="5" spans="1:6" x14ac:dyDescent="0.25">
      <c r="A5" s="2">
        <v>43487</v>
      </c>
      <c r="B5" s="1" t="s">
        <v>86</v>
      </c>
      <c r="C5" s="1" t="s">
        <v>91</v>
      </c>
      <c r="D5" s="40">
        <v>5</v>
      </c>
      <c r="E5" s="40">
        <v>50</v>
      </c>
      <c r="F5" s="40">
        <v>250</v>
      </c>
    </row>
    <row r="6" spans="1:6" ht="30" x14ac:dyDescent="0.25">
      <c r="A6" s="2">
        <v>43488</v>
      </c>
      <c r="B6" s="43" t="s">
        <v>87</v>
      </c>
      <c r="C6" s="1" t="s">
        <v>92</v>
      </c>
      <c r="D6" s="40">
        <v>8</v>
      </c>
      <c r="E6" s="40">
        <v>120</v>
      </c>
      <c r="F6" s="40">
        <v>960</v>
      </c>
    </row>
    <row r="7" spans="1:6" ht="30" x14ac:dyDescent="0.25">
      <c r="A7" s="2">
        <v>43488</v>
      </c>
      <c r="B7" s="43" t="s">
        <v>87</v>
      </c>
      <c r="C7" s="1" t="s">
        <v>93</v>
      </c>
      <c r="D7" s="40">
        <v>500</v>
      </c>
      <c r="E7" s="40">
        <v>2</v>
      </c>
      <c r="F7" s="40">
        <v>1000</v>
      </c>
    </row>
    <row r="8" spans="1:6" ht="30" x14ac:dyDescent="0.25">
      <c r="A8" s="2">
        <v>43488</v>
      </c>
      <c r="B8" s="43" t="s">
        <v>87</v>
      </c>
      <c r="C8" s="1" t="s">
        <v>94</v>
      </c>
      <c r="D8" s="40">
        <v>12</v>
      </c>
      <c r="E8" s="40">
        <v>40</v>
      </c>
      <c r="F8" s="40">
        <v>480</v>
      </c>
    </row>
    <row r="9" spans="1:6" ht="30" x14ac:dyDescent="0.25">
      <c r="A9" s="2">
        <v>43490</v>
      </c>
      <c r="B9" s="43" t="s">
        <v>85</v>
      </c>
      <c r="C9" s="1" t="s">
        <v>88</v>
      </c>
      <c r="D9" s="40">
        <v>38</v>
      </c>
      <c r="E9" s="40">
        <v>20</v>
      </c>
      <c r="F9" s="40">
        <v>760</v>
      </c>
    </row>
    <row r="10" spans="1:6" ht="30" x14ac:dyDescent="0.25">
      <c r="A10" s="2">
        <v>43490</v>
      </c>
      <c r="B10" s="43" t="s">
        <v>85</v>
      </c>
      <c r="C10" s="1" t="s">
        <v>89</v>
      </c>
      <c r="D10" s="40">
        <v>22</v>
      </c>
      <c r="E10" s="40">
        <v>15</v>
      </c>
      <c r="F10" s="40">
        <v>330</v>
      </c>
    </row>
    <row r="11" spans="1:6" ht="30" x14ac:dyDescent="0.25">
      <c r="A11" s="2">
        <v>43490</v>
      </c>
      <c r="B11" s="43" t="s">
        <v>87</v>
      </c>
      <c r="C11" s="1" t="s">
        <v>92</v>
      </c>
      <c r="D11" s="1">
        <v>8</v>
      </c>
      <c r="E11" s="40">
        <v>70</v>
      </c>
      <c r="F11" s="40">
        <v>560</v>
      </c>
    </row>
    <row r="12" spans="1:6" ht="30" x14ac:dyDescent="0.25">
      <c r="A12" s="2">
        <v>43490</v>
      </c>
      <c r="B12" s="43" t="s">
        <v>87</v>
      </c>
      <c r="C12" s="1" t="s">
        <v>93</v>
      </c>
      <c r="D12" s="44">
        <v>500</v>
      </c>
      <c r="E12" s="1">
        <v>1</v>
      </c>
      <c r="F12" s="1">
        <v>500</v>
      </c>
    </row>
    <row r="16" spans="1:6" x14ac:dyDescent="0.25">
      <c r="A16" s="45" t="s">
        <v>95</v>
      </c>
      <c r="B16" t="s">
        <v>96</v>
      </c>
    </row>
    <row r="17" spans="1:2" x14ac:dyDescent="0.25">
      <c r="A17" s="46">
        <v>43487</v>
      </c>
      <c r="B17" s="48">
        <v>2450</v>
      </c>
    </row>
    <row r="18" spans="1:2" x14ac:dyDescent="0.25">
      <c r="A18" s="47" t="s">
        <v>85</v>
      </c>
      <c r="B18" s="48">
        <v>1800</v>
      </c>
    </row>
    <row r="19" spans="1:2" x14ac:dyDescent="0.25">
      <c r="A19" s="47" t="s">
        <v>86</v>
      </c>
      <c r="B19" s="48">
        <v>650</v>
      </c>
    </row>
    <row r="20" spans="1:2" x14ac:dyDescent="0.25">
      <c r="A20" s="46">
        <v>43488</v>
      </c>
      <c r="B20" s="48">
        <v>2440</v>
      </c>
    </row>
    <row r="21" spans="1:2" x14ac:dyDescent="0.25">
      <c r="A21" s="47" t="s">
        <v>87</v>
      </c>
      <c r="B21" s="48">
        <v>2440</v>
      </c>
    </row>
    <row r="22" spans="1:2" x14ac:dyDescent="0.25">
      <c r="A22" s="46">
        <v>43490</v>
      </c>
      <c r="B22" s="48">
        <v>2150</v>
      </c>
    </row>
    <row r="23" spans="1:2" x14ac:dyDescent="0.25">
      <c r="A23" s="47" t="s">
        <v>85</v>
      </c>
      <c r="B23" s="48">
        <v>1090</v>
      </c>
    </row>
    <row r="24" spans="1:2" x14ac:dyDescent="0.25">
      <c r="A24" s="47" t="s">
        <v>87</v>
      </c>
      <c r="B24" s="48">
        <v>1060</v>
      </c>
    </row>
    <row r="25" spans="1:2" x14ac:dyDescent="0.25">
      <c r="A25" s="46" t="s">
        <v>75</v>
      </c>
      <c r="B25" s="48">
        <v>7040</v>
      </c>
    </row>
    <row r="26" spans="1:2" x14ac:dyDescent="0.25">
      <c r="A26"/>
    </row>
    <row r="27" spans="1:2" x14ac:dyDescent="0.25">
      <c r="A27"/>
    </row>
    <row r="28" spans="1:2" x14ac:dyDescent="0.25">
      <c r="A28"/>
    </row>
    <row r="29" spans="1:2" x14ac:dyDescent="0.25">
      <c r="A29"/>
    </row>
    <row r="30" spans="1:2" x14ac:dyDescent="0.25">
      <c r="A30"/>
    </row>
    <row r="31" spans="1:2" x14ac:dyDescent="0.25">
      <c r="A31"/>
    </row>
    <row r="32" spans="1:2" x14ac:dyDescent="0.25">
      <c r="A32"/>
    </row>
    <row r="33" spans="1:1" x14ac:dyDescent="0.25">
      <c r="A33"/>
    </row>
  </sheetData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3</vt:i4>
      </vt:variant>
    </vt:vector>
  </HeadingPairs>
  <TitlesOfParts>
    <vt:vector size="16" baseType="lpstr">
      <vt:lpstr>1.1 Создание и ведение</vt:lpstr>
      <vt:lpstr>1.2 Сортировка</vt:lpstr>
      <vt:lpstr>1.3 Условное форматирование</vt:lpstr>
      <vt:lpstr>1.4.1 Стандартный фильтр</vt:lpstr>
      <vt:lpstr>1.4.2 Расширенный фильтр</vt:lpstr>
      <vt:lpstr>Структура 1.5</vt:lpstr>
      <vt:lpstr>2.1 Промежуточные итоги</vt:lpstr>
      <vt:lpstr>2.2 ФУНКЦИИ БАЗЫ ДАННЫХ</vt:lpstr>
      <vt:lpstr>2.3 Консолидация </vt:lpstr>
      <vt:lpstr>Склад1</vt:lpstr>
      <vt:lpstr>Склад2</vt:lpstr>
      <vt:lpstr>Склад3</vt:lpstr>
      <vt:lpstr>2.4 Сводная таблица</vt:lpstr>
      <vt:lpstr>'1.4.2 Расширенный фильтр'!Извлечь</vt:lpstr>
      <vt:lpstr>'1.4.2 Расширенный фильтр'!Критерии</vt:lpstr>
      <vt:lpstr>'2.2 ФУНКЦИИ БАЗЫ ДАННЫХ'!таблица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2019-11-09T03:22:35Z</dcterms:created>
  <dcterms:modified xsi:type="dcterms:W3CDTF">2019-11-14T09:46:37Z</dcterms:modified>
</cp:coreProperties>
</file>